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1E3029AF-A25F-440F-9010-F1737A35923B}" xr6:coauthVersionLast="47" xr6:coauthVersionMax="47" xr10:uidLastSave="{00000000-0000-0000-0000-000000000000}"/>
  <bookViews>
    <workbookView xWindow="-108" yWindow="-108" windowWidth="23256" windowHeight="12456" tabRatio="500" xr2:uid="{00000000-000D-0000-FFFF-FFFF00000000}"/>
  </bookViews>
  <sheets>
    <sheet name="Parse Table" sheetId="1" r:id="rId1"/>
    <sheet name="Panic Recovery" sheetId="2" r:id="rId2"/>
    <sheet name="Dry Run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66" i="3" l="1"/>
  <c r="E166" i="3" s="1"/>
  <c r="C165" i="3"/>
  <c r="E165" i="3" s="1"/>
  <c r="C164" i="3"/>
  <c r="E164" i="3" s="1"/>
  <c r="C163" i="3"/>
  <c r="E163" i="3" s="1"/>
  <c r="C103" i="3"/>
  <c r="E103" i="3" s="1"/>
  <c r="C102" i="3"/>
  <c r="E102" i="3" s="1"/>
  <c r="C101" i="3"/>
  <c r="E101" i="3" s="1"/>
  <c r="C100" i="3"/>
  <c r="E100" i="3" s="1"/>
  <c r="AJ32" i="1"/>
  <c r="AJ33" i="1" s="1"/>
  <c r="AI32" i="1"/>
  <c r="AI33" i="1" s="1"/>
  <c r="J36" i="1" s="1"/>
  <c r="L36" i="1" s="1"/>
  <c r="AH32" i="1"/>
  <c r="AJ31" i="1"/>
  <c r="AI31" i="1"/>
  <c r="AH31" i="1"/>
  <c r="AK31" i="1" s="1"/>
  <c r="AJ30" i="1"/>
  <c r="AI30" i="1"/>
  <c r="AH30" i="1"/>
  <c r="AK30" i="1" s="1"/>
  <c r="AJ29" i="1"/>
  <c r="AI29" i="1"/>
  <c r="AH29" i="1"/>
  <c r="AK29" i="1" s="1"/>
  <c r="AJ28" i="1"/>
  <c r="AI28" i="1"/>
  <c r="AH28" i="1"/>
  <c r="AK28" i="1" s="1"/>
  <c r="AJ27" i="1"/>
  <c r="AI27" i="1"/>
  <c r="AH27" i="1"/>
  <c r="AK27" i="1" s="1"/>
  <c r="AJ26" i="1"/>
  <c r="AI26" i="1"/>
  <c r="AH26" i="1"/>
  <c r="AK26" i="1" s="1"/>
  <c r="AJ25" i="1"/>
  <c r="AI25" i="1"/>
  <c r="AH25" i="1"/>
  <c r="AK25" i="1" s="1"/>
  <c r="AJ24" i="1"/>
  <c r="AI24" i="1"/>
  <c r="AH24" i="1"/>
  <c r="AK24" i="1" s="1"/>
  <c r="AJ23" i="1"/>
  <c r="AI23" i="1"/>
  <c r="AH23" i="1"/>
  <c r="AK23" i="1" s="1"/>
  <c r="AJ22" i="1"/>
  <c r="AI22" i="1"/>
  <c r="AH22" i="1"/>
  <c r="AK22" i="1" s="1"/>
  <c r="AJ21" i="1"/>
  <c r="AI21" i="1"/>
  <c r="AH21" i="1"/>
  <c r="AK21" i="1" s="1"/>
  <c r="AJ20" i="1"/>
  <c r="AI20" i="1"/>
  <c r="AH20" i="1"/>
  <c r="AK20" i="1" s="1"/>
  <c r="AJ19" i="1"/>
  <c r="AI19" i="1"/>
  <c r="AH19" i="1"/>
  <c r="AK19" i="1" s="1"/>
  <c r="AJ18" i="1"/>
  <c r="AI18" i="1"/>
  <c r="AH18" i="1"/>
  <c r="AK18" i="1" s="1"/>
  <c r="AJ17" i="1"/>
  <c r="AI17" i="1"/>
  <c r="AH17" i="1"/>
  <c r="AK17" i="1" s="1"/>
  <c r="AJ16" i="1"/>
  <c r="AI16" i="1"/>
  <c r="AH16" i="1"/>
  <c r="AK16" i="1" s="1"/>
  <c r="AJ15" i="1"/>
  <c r="AI15" i="1"/>
  <c r="AH15" i="1"/>
  <c r="AK15" i="1" s="1"/>
  <c r="AJ14" i="1"/>
  <c r="AI14" i="1"/>
  <c r="AH14" i="1"/>
  <c r="AK14" i="1" s="1"/>
  <c r="AJ13" i="1"/>
  <c r="AI13" i="1"/>
  <c r="AH13" i="1"/>
  <c r="AK13" i="1" s="1"/>
  <c r="AJ12" i="1"/>
  <c r="AI12" i="1"/>
  <c r="AH12" i="1"/>
  <c r="AK12" i="1" s="1"/>
  <c r="AJ11" i="1"/>
  <c r="AI11" i="1"/>
  <c r="AH11" i="1"/>
  <c r="AK11" i="1" s="1"/>
  <c r="AJ10" i="1"/>
  <c r="AI10" i="1"/>
  <c r="AH10" i="1"/>
  <c r="AK10" i="1" s="1"/>
  <c r="AJ9" i="1"/>
  <c r="AI9" i="1"/>
  <c r="AH9" i="1"/>
  <c r="AK9" i="1" s="1"/>
  <c r="AJ8" i="1"/>
  <c r="AI8" i="1"/>
  <c r="AH8" i="1"/>
  <c r="AK8" i="1" s="1"/>
  <c r="AJ7" i="1"/>
  <c r="AI7" i="1"/>
  <c r="AH7" i="1"/>
  <c r="AK7" i="1" s="1"/>
  <c r="AJ6" i="1"/>
  <c r="AI6" i="1"/>
  <c r="AH6" i="1"/>
  <c r="AK6" i="1" s="1"/>
  <c r="AJ5" i="1"/>
  <c r="AI5" i="1"/>
  <c r="AH5" i="1"/>
  <c r="AK5" i="1" s="1"/>
  <c r="F44" i="2"/>
  <c r="E44" i="2"/>
  <c r="D44" i="2"/>
  <c r="F43" i="2"/>
  <c r="E43" i="2"/>
  <c r="D43" i="2"/>
  <c r="F42" i="2"/>
  <c r="E42" i="2"/>
  <c r="D42" i="2"/>
  <c r="F41" i="2"/>
  <c r="E41" i="2"/>
  <c r="D41" i="2"/>
  <c r="F40" i="2"/>
  <c r="E40" i="2"/>
  <c r="D40" i="2"/>
  <c r="F39" i="2"/>
  <c r="E39" i="2"/>
  <c r="D39" i="2"/>
  <c r="F38" i="2"/>
  <c r="E38" i="2"/>
  <c r="D38" i="2"/>
  <c r="F37" i="2"/>
  <c r="E37" i="2"/>
  <c r="D37" i="2"/>
  <c r="F36" i="2"/>
  <c r="E36" i="2"/>
  <c r="D36" i="2"/>
  <c r="F35" i="2"/>
  <c r="E35" i="2"/>
  <c r="D35" i="2"/>
  <c r="F34" i="2"/>
  <c r="E34" i="2"/>
  <c r="D34" i="2"/>
  <c r="F33" i="2"/>
  <c r="E33" i="2"/>
  <c r="D33" i="2"/>
  <c r="F32" i="2"/>
  <c r="E32" i="2"/>
  <c r="D32" i="2"/>
  <c r="F31" i="2"/>
  <c r="E31" i="2"/>
  <c r="D31" i="2"/>
  <c r="F30" i="2"/>
  <c r="E30" i="2"/>
  <c r="D30" i="2"/>
  <c r="F29" i="2"/>
  <c r="E29" i="2"/>
  <c r="D29" i="2"/>
  <c r="F28" i="2"/>
  <c r="E28" i="2"/>
  <c r="D28" i="2"/>
  <c r="F27" i="2"/>
  <c r="E27" i="2"/>
  <c r="D27" i="2"/>
  <c r="F26" i="2"/>
  <c r="E26" i="2"/>
  <c r="D26" i="2"/>
  <c r="F25" i="2"/>
  <c r="E25" i="2"/>
  <c r="D25" i="2"/>
  <c r="F24" i="2"/>
  <c r="E24" i="2"/>
  <c r="D24" i="2"/>
  <c r="F23" i="2"/>
  <c r="E23" i="2"/>
  <c r="D23" i="2"/>
  <c r="F22" i="2"/>
  <c r="E22" i="2"/>
  <c r="D22" i="2"/>
  <c r="F21" i="2"/>
  <c r="E21" i="2"/>
  <c r="D21" i="2"/>
  <c r="F20" i="2"/>
  <c r="E20" i="2"/>
  <c r="D20" i="2"/>
  <c r="F19" i="2"/>
  <c r="E19" i="2"/>
  <c r="D19" i="2"/>
  <c r="F18" i="2"/>
  <c r="E18" i="2"/>
  <c r="D18" i="2"/>
  <c r="F17" i="2"/>
  <c r="F45" i="2" s="1"/>
  <c r="E17" i="2"/>
  <c r="E45" i="2" s="1"/>
  <c r="D17" i="2"/>
  <c r="D45" i="2" s="1"/>
  <c r="AK32" i="1" l="1"/>
  <c r="AH33" i="1"/>
  <c r="J38" i="1" s="1"/>
  <c r="L38" i="1" s="1"/>
  <c r="AK33" i="1"/>
  <c r="J37" i="1" s="1"/>
  <c r="L37" i="1" s="1"/>
</calcChain>
</file>

<file path=xl/sharedStrings.xml><?xml version="1.0" encoding="utf-8"?>
<sst xmlns="http://schemas.openxmlformats.org/spreadsheetml/2006/main" count="1331" uniqueCount="328">
  <si>
    <t>Compiler Construction - Project Phase 2 - LL(1) Parsing Table M  (non-terminals x terminals)</t>
  </si>
  <si>
    <t>Cell = production number k (apply it: push right side R-&gt;L)  |  Pop = empty box, token in FOLLOW(A) or $ -&gt; discard A from the stack  |  Scan = empty box, token not in FIRST(A) U FOLLOW(A) -&gt; discard the token from the input.  Production numbers refer to the "Productions" sheet.</t>
  </si>
  <si>
    <t>M</t>
  </si>
  <si>
    <t>Adadi</t>
  </si>
  <si>
    <t>Ashriya</t>
  </si>
  <si>
    <t>Harf</t>
  </si>
  <si>
    <t>Matn</t>
  </si>
  <si>
    <t>Mantiqi</t>
  </si>
  <si>
    <t>Marqazi</t>
  </si>
  <si>
    <t>for</t>
  </si>
  <si>
    <t>while</t>
  </si>
  <si>
    <t>Agar</t>
  </si>
  <si>
    <t>Wagarna</t>
  </si>
  <si>
    <t>ID</t>
  </si>
  <si>
    <t>NUM</t>
  </si>
  <si>
    <t>(</t>
  </si>
  <si>
    <t>)</t>
  </si>
  <si>
    <t>{</t>
  </si>
  <si>
    <t>}</t>
  </si>
  <si>
    <t>,</t>
  </si>
  <si>
    <t>::</t>
  </si>
  <si>
    <t>:=</t>
  </si>
  <si>
    <t>==</t>
  </si>
  <si>
    <t>&lt;</t>
  </si>
  <si>
    <t>&gt;</t>
  </si>
  <si>
    <t>&lt;=</t>
  </si>
  <si>
    <t>&gt;=</t>
  </si>
  <si>
    <t>!=</t>
  </si>
  <si>
    <t>&lt;&gt;</t>
  </si>
  <si>
    <t>+</t>
  </si>
  <si>
    <t>-</t>
  </si>
  <si>
    <t>*</t>
  </si>
  <si>
    <t>/</t>
  </si>
  <si>
    <t>$</t>
  </si>
  <si>
    <t>Productions placed</t>
  </si>
  <si>
    <t>Pop boxes</t>
  </si>
  <si>
    <t>Scan boxes</t>
  </si>
  <si>
    <t>Row total</t>
  </si>
  <si>
    <t>Program</t>
  </si>
  <si>
    <t>Scan</t>
  </si>
  <si>
    <t>Pop</t>
  </si>
  <si>
    <t>ProgTail</t>
  </si>
  <si>
    <t>FuncRest</t>
  </si>
  <si>
    <t>ArgList</t>
  </si>
  <si>
    <t>ArgList'</t>
  </si>
  <si>
    <t>Arg</t>
  </si>
  <si>
    <t>Declaration</t>
  </si>
  <si>
    <t>IdentList</t>
  </si>
  <si>
    <t>IdentList'</t>
  </si>
  <si>
    <t>Type</t>
  </si>
  <si>
    <t>Stmt</t>
  </si>
  <si>
    <t>ForStmt</t>
  </si>
  <si>
    <t>OptExpr</t>
  </si>
  <si>
    <t>WhileStmt</t>
  </si>
  <si>
    <t>IfStmt</t>
  </si>
  <si>
    <t>ElsePart</t>
  </si>
  <si>
    <t>CompStmt</t>
  </si>
  <si>
    <t>StmtList</t>
  </si>
  <si>
    <t>Expr</t>
  </si>
  <si>
    <t>ExprRest</t>
  </si>
  <si>
    <t>RvTail</t>
  </si>
  <si>
    <t>Rvalue'</t>
  </si>
  <si>
    <t>Compare</t>
  </si>
  <si>
    <t>Mag</t>
  </si>
  <si>
    <t>Mag'</t>
  </si>
  <si>
    <t>Term</t>
  </si>
  <si>
    <t>Term'</t>
  </si>
  <si>
    <t>Factor</t>
  </si>
  <si>
    <t>Total</t>
  </si>
  <si>
    <t>Checks</t>
  </si>
  <si>
    <t>Error boxes (Pop + Scan) - handwritten PDF states 705</t>
  </si>
  <si>
    <t>Boxes in the table (28 rows x 31 columns)</t>
  </si>
  <si>
    <t>Boxes holding a production number</t>
  </si>
  <si>
    <t>Blue = expected value from the handwritten solution (Part E). Boxes holding two productions: 0 (the grammar is LL(1)). A token outside the grammar ("other": Wapas, True, [ ], ++ ... quoted literals) is Scan in every row, so it has no column here.</t>
  </si>
  <si>
    <t>Panic-mode error recovery (SCAN / POP) driven by FIRST and FOLLOW</t>
  </si>
  <si>
    <t>Every error is recorded (line, column, token, expected set) and the parser recovers without crashing, so the rest of the program is still checked. An input with syntax errors is never accepted.</t>
  </si>
  <si>
    <t>Recovery rules (Part D)</t>
  </si>
  <si>
    <t>Situation (stack top X, lookahead a)</t>
  </si>
  <si>
    <t>Table box</t>
  </si>
  <si>
    <t>Action</t>
  </si>
  <si>
    <t>Why</t>
  </si>
  <si>
    <t>X is a variable, M[X,a] = production</t>
  </si>
  <si>
    <t>number</t>
  </si>
  <si>
    <t>Expand: pop X, push the right side R-&gt;L</t>
  </si>
  <si>
    <t>normal parsing</t>
  </si>
  <si>
    <t>X is a variable, M[X,a] empty and a in FOLLOW(X) (or a = $)</t>
  </si>
  <si>
    <t>POP X (discard X from the stack), resume parsing after X</t>
  </si>
  <si>
    <t>a is a legal token for the symbol that follows X, so X is assumed missing/empty</t>
  </si>
  <si>
    <t>X is a variable, M[X,a] empty and a not in FIRST(X) U FOLLOW(X)</t>
  </si>
  <si>
    <t>SCAN a (discard a from the input, read the next token), repeat</t>
  </si>
  <si>
    <t>a cannot start X nor follow it: skip tokens until one of FIRST(X) U FOLLOW(X) appears</t>
  </si>
  <si>
    <t>X is a terminal and X = a</t>
  </si>
  <si>
    <t>match: pop X, advance input</t>
  </si>
  <si>
    <t>X is a terminal and X != a</t>
  </si>
  <si>
    <t>POP X (treated as missing, "expected X"); if a is not a grammar token -&gt; SCAN a</t>
  </si>
  <si>
    <t>insert-the-missing-token recovery</t>
  </si>
  <si>
    <t>X = $ but input not finished</t>
  </si>
  <si>
    <t>SCAN the extra tokens</t>
  </si>
  <si>
    <t>nothing more can be derived</t>
  </si>
  <si>
    <t>Both stack and input are $</t>
  </si>
  <si>
    <t>ACCEPT only if the error count is 0, otherwise REJECT ("parsed with N errors")</t>
  </si>
  <si>
    <t>an input with syntax errors is never accepted</t>
  </si>
  <si>
    <t>Recovery points per non-terminal (read directly from Parse Table and the FIRST/FOLLOW sets)</t>
  </si>
  <si>
    <t>Non-terminal A</t>
  </si>
  <si>
    <t>POP on (empty box in FOLLOW(A) or $)</t>
  </si>
  <si>
    <t>FIRST(A) - SCAN stops here</t>
  </si>
  <si>
    <t>Production boxes</t>
  </si>
  <si>
    <t>{ Adadi, Ashriya, Harf, Matn, Mantiqi }</t>
  </si>
  <si>
    <t>{ Marqazi, ID }</t>
  </si>
  <si>
    <t>{ ID }</t>
  </si>
  <si>
    <t>), $</t>
  </si>
  <si>
    <t>{ ,, ε }</t>
  </si>
  <si>
    <t>), ,, $</t>
  </si>
  <si>
    <t>for, while, Agar, ID, NUM, (, {, }, ::, $</t>
  </si>
  <si>
    <t>::, $</t>
  </si>
  <si>
    <t>ID, $</t>
  </si>
  <si>
    <t>}, $</t>
  </si>
  <si>
    <t>{ Adadi, Ashriya, Harf, Matn, Mantiqi, for, while, Agar, ID, NUM, (, {, :: }</t>
  </si>
  <si>
    <t>Adadi, Ashriya, Harf, Matn, Mantiqi, while, Agar, ID, NUM, (, {, }, ::, $</t>
  </si>
  <si>
    <t>{ for }</t>
  </si>
  <si>
    <t>{ ID, NUM, (, ε }</t>
  </si>
  <si>
    <t>Adadi, Ashriya, Harf, Matn, Mantiqi, for, Agar, ID, NUM, (, {, }, ::, $</t>
  </si>
  <si>
    <t>{ while }</t>
  </si>
  <si>
    <t>Adadi, Ashriya, Harf, Matn, Mantiqi, for, while, ID, NUM, (, {, }, ::, $</t>
  </si>
  <si>
    <t>{ Agar }</t>
  </si>
  <si>
    <t>{ Wagarna, ε }</t>
  </si>
  <si>
    <t>Adadi, Ashriya, Harf, Matn, Mantiqi, for, while, Agar, Wagarna, ID, NUM, (, }, ::, $</t>
  </si>
  <si>
    <t>{ { }</t>
  </si>
  <si>
    <t>{ Adadi, Ashriya, Harf, Matn, Mantiqi, for, while, Agar, ID, NUM, (, {, ::, ε }</t>
  </si>
  <si>
    <t>), ::, $</t>
  </si>
  <si>
    <t>{ ID, NUM, ( }</t>
  </si>
  <si>
    <t>{ :=, ==, &lt;, &gt;, &lt;=, &gt;=, !=, &lt;&gt;, +, -, *, /, ε }</t>
  </si>
  <si>
    <t>{ ==, &lt;, &gt;, &lt;=, &gt;=, !=, &lt;&gt;, +, -, *, /, ε }</t>
  </si>
  <si>
    <t>{ ==, &lt;, &gt;, &lt;=, &gt;=, !=, &lt;&gt;, ε }</t>
  </si>
  <si>
    <t>ID, NUM, (, $</t>
  </si>
  <si>
    <t>{ ==, &lt;, &gt;, &lt;=, &gt;=, !=, &lt;&gt; }</t>
  </si>
  <si>
    <t>), ::, ==, &lt;, &gt;, &lt;=, &gt;=, !=, &lt;&gt;, $</t>
  </si>
  <si>
    <t>{ +, -, ε }</t>
  </si>
  <si>
    <t>), ::, ==, &lt;, &gt;, &lt;=, &gt;=, !=, &lt;&gt;, +, -, $</t>
  </si>
  <si>
    <t>{ *, /, ε }</t>
  </si>
  <si>
    <t>), ::, ==, &lt;, &gt;, &lt;=, &gt;=, !=, &lt;&gt;, +, -, *, /, $</t>
  </si>
  <si>
    <t>Termination: every error action either consumes an input token (SCAN) or shortens the stack (POP), and $ is never scanned, so recovery always ends.  Consecutive errors with no successful match in between are reported as one error.</t>
  </si>
  <si>
    <t>Each row is one parser step: the stack top is on the left, M[A,a] is looked up in the Parse Table sheet, and a production is pushed right-to-left. Grey rows = terminal matches, white rows = table lookups, red rows = errors (recovered by POP or SCAN, see the Panic Recovery sheet), green = accept.</t>
  </si>
  <si>
    <t>Source program</t>
  </si>
  <si>
    <t>Adadi sum_val ( Adadi first_arg , Ashriya second_arg )</t>
  </si>
  <si>
    <t xml:space="preserve"> Adadi first_val, total_val ::</t>
  </si>
  <si>
    <t xml:space="preserve"> first_val := first_arg + 2 * 3 ::</t>
  </si>
  <si>
    <t xml:space="preserve"> total_val := first_val - 1 ::</t>
  </si>
  <si>
    <t xml:space="preserve">Token stream (Phase 1 Token.txt mapped to terminals): </t>
  </si>
  <si>
    <t>Adadi ID ( Adadi ID , Ashriya ID ) { Adadi ID , ID :: ID := ID + NUM * NUM :: ID := ID - NUM :: } $</t>
  </si>
  <si>
    <t>Step</t>
  </si>
  <si>
    <t>Stack (top left)</t>
  </si>
  <si>
    <t>Input</t>
  </si>
  <si>
    <t>Production / Action</t>
  </si>
  <si>
    <t>Error</t>
  </si>
  <si>
    <t>Program $</t>
  </si>
  <si>
    <t>M[Program,Adadi] = 1: Program → Adadi ProgTail</t>
  </si>
  <si>
    <t>Adadi ProgTail $</t>
  </si>
  <si>
    <t>match Adadi</t>
  </si>
  <si>
    <t>ProgTail $</t>
  </si>
  <si>
    <t>ID ( Adadi ID , Ashriya ID ) { Adadi ID , ID :: ID := ID + NUM * NUM :: ID := ID - NUM :: } $</t>
  </si>
  <si>
    <t>M[ProgTail,ID] = 7: ProgTail → FuncRest</t>
  </si>
  <si>
    <t>FuncRest $</t>
  </si>
  <si>
    <t>M[FuncRest,ID] = 8: FuncRest → ID ( ArgList ) CompStmt</t>
  </si>
  <si>
    <t>ID ( ArgList ) CompStmt $</t>
  </si>
  <si>
    <t>match ID</t>
  </si>
  <si>
    <t>( ArgList ) CompStmt $</t>
  </si>
  <si>
    <t>( Adadi ID , Ashriya ID ) { Adadi ID , ID :: ID := ID + NUM * NUM :: ID := ID - NUM :: } $</t>
  </si>
  <si>
    <t>match (</t>
  </si>
  <si>
    <t>ArgList ) CompStmt $</t>
  </si>
  <si>
    <t>Adadi ID , Ashriya ID ) { Adadi ID , ID :: ID := ID + NUM * NUM :: ID := ID - NUM :: } $</t>
  </si>
  <si>
    <t>M[ArgList,Adadi] = 9: ArgList → Arg ArgList'</t>
  </si>
  <si>
    <t>Arg ArgList' ) CompStmt $</t>
  </si>
  <si>
    <t>M[Arg,Adadi] = 12: Arg → Type ID</t>
  </si>
  <si>
    <t>Type ID ArgList' ) CompStmt $</t>
  </si>
  <si>
    <t>M[Type,Adadi] = 17: Type → Adadi</t>
  </si>
  <si>
    <t>Adadi ID ArgList' ) CompStmt $</t>
  </si>
  <si>
    <t>ID ArgList' ) CompStmt $</t>
  </si>
  <si>
    <t>ID , Ashriya ID ) { Adadi ID , ID :: ID := ID + NUM * NUM :: ID := ID - NUM :: } $</t>
  </si>
  <si>
    <t>ArgList' ) CompStmt $</t>
  </si>
  <si>
    <t>, Ashriya ID ) { Adadi ID , ID :: ID := ID + NUM * NUM :: ID := ID - NUM :: } $</t>
  </si>
  <si>
    <t>M[ArgList',,] = 10: ArgList' → , Arg ArgList'</t>
  </si>
  <si>
    <t>, Arg ArgList' ) CompStmt $</t>
  </si>
  <si>
    <t>match ,</t>
  </si>
  <si>
    <t>Ashriya ID ) { Adadi ID , ID :: ID := ID + NUM * NUM :: ID := ID - NUM :: } $</t>
  </si>
  <si>
    <t>M[Arg,Ashriya] = 12: Arg → Type ID</t>
  </si>
  <si>
    <t>M[Type,Ashriya] = 18: Type → Ashriya</t>
  </si>
  <si>
    <t>Ashriya ID ArgList' ) CompStmt $</t>
  </si>
  <si>
    <t>match Ashriya</t>
  </si>
  <si>
    <t>ID ) { Adadi ID , ID :: ID := ID + NUM * NUM :: ID := ID - NUM :: } $</t>
  </si>
  <si>
    <t>) { Adadi ID , ID :: ID := ID + NUM * NUM :: ID := ID - NUM :: } $</t>
  </si>
  <si>
    <t>M[ArgList',)] = 11: ArgList' → ε</t>
  </si>
  <si>
    <t>) CompStmt $</t>
  </si>
  <si>
    <t>match )</t>
  </si>
  <si>
    <t>CompStmt $</t>
  </si>
  <si>
    <t>{ Adadi ID , ID :: ID := ID + NUM * NUM :: ID := ID - NUM :: } $</t>
  </si>
  <si>
    <t>M[CompStmt,{] = 36: CompStmt → { StmtList }</t>
  </si>
  <si>
    <t>{ StmtList } $</t>
  </si>
  <si>
    <t>match {</t>
  </si>
  <si>
    <t>StmtList } $</t>
  </si>
  <si>
    <t>Adadi ID , ID :: ID := ID + NUM * NUM :: ID := ID - NUM :: } $</t>
  </si>
  <si>
    <t>M[StmtList,Adadi] = 37: StmtList → Stmt StmtList</t>
  </si>
  <si>
    <t>Stmt StmtList } $</t>
  </si>
  <si>
    <t>M[Stmt,Adadi] = 27: Stmt → Declaration</t>
  </si>
  <si>
    <t>Declaration StmtList } $</t>
  </si>
  <si>
    <t>M[Declaration,Adadi] = 13: Declaration → Type IdentList ::</t>
  </si>
  <si>
    <t>Type IdentList :: StmtList } $</t>
  </si>
  <si>
    <t>Adadi IdentList :: StmtList } $</t>
  </si>
  <si>
    <t>IdentList :: StmtList } $</t>
  </si>
  <si>
    <t>ID , ID :: ID := ID + NUM * NUM :: ID := ID - NUM :: } $</t>
  </si>
  <si>
    <t>M[IdentList,ID] = 14: IdentList → ID IdentList'</t>
  </si>
  <si>
    <t>ID IdentList' :: StmtList } $</t>
  </si>
  <si>
    <t>IdentList' :: StmtList } $</t>
  </si>
  <si>
    <t>, ID :: ID := ID + NUM * NUM :: ID := ID - NUM :: } $</t>
  </si>
  <si>
    <t>M[IdentList',,] = 15: IdentList' → , IdentList</t>
  </si>
  <si>
    <t>, IdentList :: StmtList } $</t>
  </si>
  <si>
    <t>ID :: ID := ID + NUM * NUM :: ID := ID - NUM :: } $</t>
  </si>
  <si>
    <t>:: ID := ID + NUM * NUM :: ID := ID - NUM :: } $</t>
  </si>
  <si>
    <t>M[IdentList',::] = 16: IdentList' → ε</t>
  </si>
  <si>
    <t>:: StmtList } $</t>
  </si>
  <si>
    <t>match ::</t>
  </si>
  <si>
    <t>ID := ID + NUM * NUM :: ID := ID - NUM :: } $</t>
  </si>
  <si>
    <t>M[StmtList,ID] = 37: StmtList → Stmt StmtList</t>
  </si>
  <si>
    <t>M[Stmt,ID] = 24: Stmt → Expr ::</t>
  </si>
  <si>
    <t>Expr :: StmtList } $</t>
  </si>
  <si>
    <t>M[Expr,ID] = 39: Expr → ID ExprRest</t>
  </si>
  <si>
    <t>ID ExprRest :: StmtList } $</t>
  </si>
  <si>
    <t>ExprRest :: StmtList } $</t>
  </si>
  <si>
    <t>:= ID + NUM * NUM :: ID := ID - NUM :: } $</t>
  </si>
  <si>
    <t>M[ExprRest,:=] = 42: ExprRest → := Expr</t>
  </si>
  <si>
    <t>:= Expr :: StmtList } $</t>
  </si>
  <si>
    <t>match :=</t>
  </si>
  <si>
    <t>ID + NUM * NUM :: ID := ID - NUM :: } $</t>
  </si>
  <si>
    <t>+ NUM * NUM :: ID := ID - NUM :: } $</t>
  </si>
  <si>
    <t>M[ExprRest,+] = 43: ExprRest → RvTail</t>
  </si>
  <si>
    <t>RvTail :: StmtList } $</t>
  </si>
  <si>
    <t>M[RvTail,+] = 44: RvTail → Term' Mag' Rvalue'</t>
  </si>
  <si>
    <t>Term' Mag' Rvalue' :: StmtList } $</t>
  </si>
  <si>
    <t>M[Term',+] = 61: Term' → ε</t>
  </si>
  <si>
    <t>Mag' Rvalue' :: StmtList } $</t>
  </si>
  <si>
    <t>M[Mag',+] = 55: Mag' → + Term Mag'</t>
  </si>
  <si>
    <t>+ Term Mag' Rvalue' :: StmtList } $</t>
  </si>
  <si>
    <t>match +</t>
  </si>
  <si>
    <t>Term Mag' Rvalue' :: StmtList } $</t>
  </si>
  <si>
    <t>NUM * NUM :: ID := ID - NUM :: } $</t>
  </si>
  <si>
    <t>M[Term,NUM] = 58: Term → Factor Term'</t>
  </si>
  <si>
    <t>Factor Term' Mag' Rvalue' :: StmtList } $</t>
  </si>
  <si>
    <t>M[Factor,NUM] = 64: Factor → NUM</t>
  </si>
  <si>
    <t>NUM Term' Mag' Rvalue' :: StmtList } $</t>
  </si>
  <si>
    <t>match NUM</t>
  </si>
  <si>
    <t>* NUM :: ID := ID - NUM :: } $</t>
  </si>
  <si>
    <t>M[Term',*] = 59: Term' → * Factor Term'</t>
  </si>
  <si>
    <t>* Factor Term' Mag' Rvalue' :: StmtList } $</t>
  </si>
  <si>
    <t>match *</t>
  </si>
  <si>
    <t>NUM :: ID := ID - NUM :: } $</t>
  </si>
  <si>
    <t>:: ID := ID - NUM :: } $</t>
  </si>
  <si>
    <t>M[Term',::] = 61: Term' → ε</t>
  </si>
  <si>
    <t>M[Mag',::] = 57: Mag' → ε</t>
  </si>
  <si>
    <t>Rvalue' :: StmtList } $</t>
  </si>
  <si>
    <t>M[Rvalue',::] = 46: Rvalue' → ε</t>
  </si>
  <si>
    <t>ID := ID - NUM :: } $</t>
  </si>
  <si>
    <t>:= ID - NUM :: } $</t>
  </si>
  <si>
    <t>ID - NUM :: } $</t>
  </si>
  <si>
    <t>- NUM :: } $</t>
  </si>
  <si>
    <t>M[ExprRest,-] = 43: ExprRest → RvTail</t>
  </si>
  <si>
    <t>M[RvTail,-] = 44: RvTail → Term' Mag' Rvalue'</t>
  </si>
  <si>
    <t>M[Term',-] = 61: Term' → ε</t>
  </si>
  <si>
    <t>M[Mag',-] = 56: Mag' → - Term Mag'</t>
  </si>
  <si>
    <t>- Term Mag' Rvalue' :: StmtList } $</t>
  </si>
  <si>
    <t>match -</t>
  </si>
  <si>
    <t>NUM :: } $</t>
  </si>
  <si>
    <t>:: } $</t>
  </si>
  <si>
    <t>} $</t>
  </si>
  <si>
    <t>M[StmtList,}] = 38: StmtList → ε</t>
  </si>
  <si>
    <t>match }</t>
  </si>
  <si>
    <t>accept</t>
  </si>
  <si>
    <t>Result: ACCEPT - stack and input both reduced to $ with 0 errors.</t>
  </si>
  <si>
    <t>Checks (live formulas vs the handwritten solution)</t>
  </si>
  <si>
    <t>Measure</t>
  </si>
  <si>
    <t>Counted here</t>
  </si>
  <si>
    <t>Handwritten PDF</t>
  </si>
  <si>
    <t>Status</t>
  </si>
  <si>
    <t>Parser steps</t>
  </si>
  <si>
    <t>Syntax errors (red rows)</t>
  </si>
  <si>
    <t>SCAN recoveries</t>
  </si>
  <si>
    <t>POP recoveries</t>
  </si>
  <si>
    <t>Adadi Marqazi ()</t>
  </si>
  <si>
    <t xml:space="preserve"> Adadi first_val, ::</t>
  </si>
  <si>
    <t xml:space="preserve"> first_val := 2 + ::</t>
  </si>
  <si>
    <t>Adadi Marqazi ( ) { Adadi ID , :: ID := NUM + :: } $</t>
  </si>
  <si>
    <t>Marqazi ( ) { Adadi ID , :: ID := NUM + :: } $</t>
  </si>
  <si>
    <t>M[ProgTail,Marqazi] = 6: ProgTail → Marqazi ( ) CompStmt</t>
  </si>
  <si>
    <t>Marqazi ( ) CompStmt $</t>
  </si>
  <si>
    <t>match Marqazi</t>
  </si>
  <si>
    <t>( ) CompStmt $</t>
  </si>
  <si>
    <t>( ) { Adadi ID , :: ID := NUM + :: } $</t>
  </si>
  <si>
    <t>) { Adadi ID , :: ID := NUM + :: } $</t>
  </si>
  <si>
    <t>{ Adadi ID , :: ID := NUM + :: } $</t>
  </si>
  <si>
    <t>Adadi ID , :: ID := NUM + :: } $</t>
  </si>
  <si>
    <t>ID , :: ID := NUM + :: } $</t>
  </si>
  <si>
    <t>, :: ID := NUM + :: } $</t>
  </si>
  <si>
    <t>:: ID := NUM + :: } $</t>
  </si>
  <si>
    <t>M[IdentList,::] empty, :: in FOLLOW(IdentList) → POP IdentList</t>
  </si>
  <si>
    <t>E1 line 3 col 19: unexpected "::" in IdentList</t>
  </si>
  <si>
    <t>ID := NUM + :: } $</t>
  </si>
  <si>
    <t>:= NUM + :: } $</t>
  </si>
  <si>
    <t>NUM + :: } $</t>
  </si>
  <si>
    <t>M[Expr,NUM] = 40: Expr → NUM RvTail</t>
  </si>
  <si>
    <t>NUM RvTail :: StmtList } $</t>
  </si>
  <si>
    <t>+ :: } $</t>
  </si>
  <si>
    <t>M[Term,::] empty, :: in FOLLOW(Term) → POP Term</t>
  </si>
  <si>
    <t>E2 line 4 col 19: unexpected "::" in Term</t>
  </si>
  <si>
    <t>Result: REJECT - 2 syntax error(s), all recovered with panic mode (0 SCAN, 2 POP); the input is not accepted.</t>
  </si>
  <si>
    <t>Errors recorded</t>
  </si>
  <si>
    <t>#</t>
  </si>
  <si>
    <t>Position</t>
  </si>
  <si>
    <t>Token</t>
  </si>
  <si>
    <t>Stack top</t>
  </si>
  <si>
    <t>Recovery</t>
  </si>
  <si>
    <t>E1</t>
  </si>
  <si>
    <t>line 3, col 19</t>
  </si>
  <si>
    <t>POP the variable IdentList</t>
  </si>
  <si>
    <t>E2</t>
  </si>
  <si>
    <t>line 4, col 19</t>
  </si>
  <si>
    <t>POP the variable Term</t>
  </si>
  <si>
    <t xml:space="preserve">Dry runs </t>
  </si>
  <si>
    <t xml:space="preserve">Part 1 </t>
  </si>
  <si>
    <t xml:space="preserve">Part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</si>
</sst>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14"/>
      <color rgb="FF1F2A6B"/>
      <name val="Arial"/>
      <charset val="1"/>
    </font>
    <font>
      <i/>
      <sz val="9"/>
      <name val="Arial"/>
      <charset val="1"/>
    </font>
    <font>
      <b/>
      <sz val="10"/>
      <color rgb="FFFFFFFF"/>
      <name val="Arial"/>
      <charset val="1"/>
    </font>
    <font>
      <b/>
      <sz val="10"/>
      <name val="Arial"/>
      <charset val="1"/>
    </font>
    <font>
      <b/>
      <sz val="11"/>
      <name val="Arial"/>
      <charset val="1"/>
    </font>
    <font>
      <sz val="10"/>
      <color rgb="FF8A8F9E"/>
      <name val="Arial"/>
      <charset val="1"/>
    </font>
    <font>
      <sz val="10"/>
      <color rgb="FFC25A00"/>
      <name val="Arial"/>
      <charset val="1"/>
    </font>
    <font>
      <sz val="10"/>
      <name val="Arial"/>
      <charset val="1"/>
    </font>
    <font>
      <b/>
      <sz val="11"/>
      <color rgb="FF1F2A6B"/>
      <name val="Arial"/>
      <charset val="1"/>
    </font>
    <font>
      <sz val="10"/>
      <color rgb="FF0000FF"/>
      <name val="Arial"/>
      <charset val="1"/>
    </font>
    <font>
      <b/>
      <sz val="10"/>
      <color rgb="FF2E7D32"/>
      <name val="Arial"/>
      <charset val="1"/>
    </font>
    <font>
      <b/>
      <sz val="10"/>
      <color rgb="FF000000"/>
      <name val="Arial"/>
      <charset val="1"/>
    </font>
    <font>
      <b/>
      <sz val="10"/>
      <color rgb="FFC25A00"/>
      <name val="Arial"/>
      <charset val="1"/>
    </font>
    <font>
      <b/>
      <sz val="12"/>
      <color rgb="FF1F2A6B"/>
      <name val="Arial"/>
      <charset val="1"/>
    </font>
    <font>
      <b/>
      <sz val="10"/>
      <color rgb="FFB71C1C"/>
      <name val="Arial"/>
      <charset val="1"/>
    </font>
  </fonts>
  <fills count="9">
    <fill>
      <patternFill patternType="none"/>
    </fill>
    <fill>
      <patternFill patternType="gray125"/>
    </fill>
    <fill>
      <patternFill patternType="solid">
        <fgColor rgb="FF1F2A6B"/>
        <bgColor rgb="FF333399"/>
      </patternFill>
    </fill>
    <fill>
      <patternFill patternType="solid">
        <fgColor rgb="FFF3F4F9"/>
        <bgColor rgb="FFF2F2F2"/>
      </patternFill>
    </fill>
    <fill>
      <patternFill patternType="solid">
        <fgColor rgb="FFC8E6C9"/>
        <bgColor rgb="FFE8EAF6"/>
      </patternFill>
    </fill>
    <fill>
      <patternFill patternType="solid">
        <fgColor rgb="FFFFE9CC"/>
        <bgColor rgb="FFF2F2F2"/>
      </patternFill>
    </fill>
    <fill>
      <patternFill patternType="solid">
        <fgColor rgb="FFE8EAF6"/>
        <bgColor rgb="FFF2F2F2"/>
      </patternFill>
    </fill>
    <fill>
      <patternFill patternType="solid">
        <fgColor rgb="FFF2F2F2"/>
        <bgColor rgb="FFF3F4F9"/>
      </patternFill>
    </fill>
    <fill>
      <patternFill patternType="solid">
        <fgColor rgb="FFFFCDD2"/>
        <bgColor rgb="FFFFE9CC"/>
      </patternFill>
    </fill>
  </fills>
  <borders count="2">
    <border>
      <left/>
      <right/>
      <top/>
      <bottom/>
      <diagonal/>
    </border>
    <border>
      <left style="thin">
        <color rgb="FFB8BCCB"/>
      </left>
      <right style="thin">
        <color rgb="FFB8BCCB"/>
      </right>
      <top style="thin">
        <color rgb="FFB8BCCB"/>
      </top>
      <bottom style="thin">
        <color rgb="FFB8BCCB"/>
      </bottom>
      <diagonal/>
    </border>
  </borders>
  <cellStyleXfs count="1">
    <xf numFmtId="0" fontId="0" fillId="0" borderId="0"/>
  </cellStyleXfs>
  <cellXfs count="41">
    <xf numFmtId="0" fontId="0" fillId="0" borderId="0" xfId="0"/>
    <xf numFmtId="0" fontId="4" fillId="0" borderId="0" xfId="0" applyFont="1" applyAlignment="1">
      <alignment vertical="center" wrapText="1"/>
    </xf>
    <xf numFmtId="0" fontId="8" fillId="0" borderId="0" xfId="0" applyFont="1" applyAlignment="1">
      <alignment vertical="top" wrapText="1"/>
    </xf>
    <xf numFmtId="0" fontId="4" fillId="0" borderId="0" xfId="0" applyFont="1"/>
    <xf numFmtId="0" fontId="8" fillId="0" borderId="0" xfId="0" applyFont="1"/>
    <xf numFmtId="0" fontId="8" fillId="0" borderId="1" xfId="0" applyFont="1" applyBorder="1" applyAlignment="1">
      <alignment vertical="top" wrapText="1"/>
    </xf>
    <xf numFmtId="0" fontId="3" fillId="2" borderId="1" xfId="0" applyFont="1" applyFill="1" applyBorder="1" applyAlignment="1">
      <alignment horizontal="center" vertical="center"/>
    </xf>
    <xf numFmtId="0" fontId="2" fillId="0" borderId="0" xfId="0" applyFont="1" applyAlignment="1">
      <alignment vertical="top" wrapText="1"/>
    </xf>
    <xf numFmtId="0" fontId="1" fillId="0" borderId="0" xfId="0" applyFont="1"/>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xf>
    <xf numFmtId="0" fontId="5" fillId="4" borderId="1" xfId="0" applyFont="1" applyFill="1" applyBorder="1" applyAlignment="1">
      <alignment horizontal="center" vertical="center"/>
    </xf>
    <xf numFmtId="0" fontId="6" fillId="0" borderId="1" xfId="0" applyFont="1" applyBorder="1" applyAlignment="1">
      <alignment horizontal="center" vertical="center"/>
    </xf>
    <xf numFmtId="0" fontId="7" fillId="5" borderId="1" xfId="0" applyFont="1" applyFill="1" applyBorder="1" applyAlignment="1">
      <alignment horizontal="center" vertical="center"/>
    </xf>
    <xf numFmtId="0" fontId="8" fillId="0" borderId="1" xfId="0" applyFont="1" applyBorder="1" applyAlignment="1">
      <alignment horizontal="center" vertical="center"/>
    </xf>
    <xf numFmtId="0" fontId="4" fillId="6" borderId="1" xfId="0" applyFont="1" applyFill="1" applyBorder="1" applyAlignment="1">
      <alignment horizontal="center" vertical="center"/>
    </xf>
    <xf numFmtId="0" fontId="9" fillId="0" borderId="0" xfId="0" applyFont="1"/>
    <xf numFmtId="0" fontId="8" fillId="0" borderId="0" xfId="0" applyFont="1"/>
    <xf numFmtId="0" fontId="4" fillId="0" borderId="1"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8" fillId="0" borderId="1" xfId="0" applyFont="1" applyBorder="1" applyAlignment="1">
      <alignment vertical="top" wrapText="1"/>
    </xf>
    <xf numFmtId="0" fontId="12" fillId="4" borderId="1" xfId="0" applyFont="1" applyFill="1" applyBorder="1" applyAlignment="1">
      <alignment horizontal="center" vertical="center"/>
    </xf>
    <xf numFmtId="0" fontId="13" fillId="5" borderId="1" xfId="0" applyFont="1" applyFill="1" applyBorder="1" applyAlignment="1">
      <alignment horizontal="center" vertical="center"/>
    </xf>
    <xf numFmtId="0" fontId="12" fillId="0" borderId="1" xfId="0" applyFont="1" applyBorder="1" applyAlignment="1">
      <alignment horizontal="center" vertical="center"/>
    </xf>
    <xf numFmtId="0" fontId="7" fillId="0" borderId="1" xfId="0" applyFont="1" applyBorder="1" applyAlignment="1">
      <alignment vertical="top" wrapText="1"/>
    </xf>
    <xf numFmtId="0" fontId="0" fillId="6" borderId="1" xfId="0" applyFill="1" applyBorder="1"/>
    <xf numFmtId="0" fontId="14" fillId="0" borderId="0" xfId="0" applyFont="1"/>
    <xf numFmtId="0" fontId="4" fillId="0" borderId="0" xfId="0" applyFont="1"/>
    <xf numFmtId="0" fontId="8" fillId="0" borderId="1" xfId="0" applyFont="1" applyBorder="1" applyAlignment="1">
      <alignment horizontal="left" vertical="top" wrapText="1"/>
    </xf>
    <xf numFmtId="0" fontId="8" fillId="7" borderId="1" xfId="0" applyFont="1" applyFill="1" applyBorder="1" applyAlignment="1">
      <alignment horizontal="center" vertical="center"/>
    </xf>
    <xf numFmtId="0" fontId="8" fillId="7" borderId="1" xfId="0" applyFont="1" applyFill="1" applyBorder="1" applyAlignment="1">
      <alignment horizontal="left" vertical="top" wrapText="1"/>
    </xf>
    <xf numFmtId="0" fontId="4" fillId="4" borderId="1" xfId="0" applyFont="1" applyFill="1" applyBorder="1" applyAlignment="1">
      <alignment horizontal="center" vertical="center"/>
    </xf>
    <xf numFmtId="0" fontId="8" fillId="4" borderId="1" xfId="0" applyFont="1" applyFill="1" applyBorder="1" applyAlignment="1">
      <alignment horizontal="left" vertical="top" wrapText="1"/>
    </xf>
    <xf numFmtId="0" fontId="8" fillId="0" borderId="1" xfId="0" applyFont="1" applyBorder="1" applyAlignment="1">
      <alignment horizontal="left" vertical="center"/>
    </xf>
    <xf numFmtId="0" fontId="4" fillId="8" borderId="1" xfId="0" applyFont="1" applyFill="1" applyBorder="1" applyAlignment="1">
      <alignment horizontal="center" vertical="center"/>
    </xf>
    <xf numFmtId="0" fontId="8" fillId="8"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8" fillId="0" borderId="1" xfId="0" applyFont="1" applyBorder="1" applyAlignment="1">
      <alignment horizontal="center" vertical="top"/>
    </xf>
    <xf numFmtId="0" fontId="8"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BCCB"/>
      <rgbColor rgb="FF808080"/>
      <rgbColor rgb="FF9999FF"/>
      <rgbColor rgb="FF993366"/>
      <rgbColor rgb="FFFFE9CC"/>
      <rgbColor rgb="FFE8EA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3F4F9"/>
      <rgbColor rgb="FFC8E6C9"/>
      <rgbColor rgb="FFF2F2F2"/>
      <rgbColor rgb="FF99CCFF"/>
      <rgbColor rgb="FFFF99CC"/>
      <rgbColor rgb="FFCC99FF"/>
      <rgbColor rgb="FFFFCDD2"/>
      <rgbColor rgb="FF3366FF"/>
      <rgbColor rgb="FF33CCCC"/>
      <rgbColor rgb="FF99CC00"/>
      <rgbColor rgb="FFFFCC00"/>
      <rgbColor rgb="FFFF9900"/>
      <rgbColor rgb="FFC25A00"/>
      <rgbColor rgb="FF666699"/>
      <rgbColor rgb="FF8A8F9E"/>
      <rgbColor rgb="FF1F2A6B"/>
      <rgbColor rgb="FF2E7D32"/>
      <rgbColor rgb="FF003300"/>
      <rgbColor rgb="FF333300"/>
      <rgbColor rgb="FFB71C1C"/>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9"/>
  <sheetViews>
    <sheetView tabSelected="1" zoomScale="90" zoomScaleNormal="90" workbookViewId="0">
      <pane xSplit="1" ySplit="4" topLeftCell="B5" activePane="bottomRight" state="frozen"/>
      <selection pane="topRight" activeCell="B1" sqref="B1"/>
      <selection pane="bottomLeft" activeCell="A5" sqref="A5"/>
      <selection pane="bottomRight"/>
    </sheetView>
  </sheetViews>
  <sheetFormatPr defaultColWidth="8.6640625" defaultRowHeight="14.4" x14ac:dyDescent="0.3"/>
  <cols>
    <col min="1" max="1" width="14" customWidth="1"/>
    <col min="2" max="32" width="8.44140625" customWidth="1"/>
    <col min="33" max="33" width="3" customWidth="1"/>
    <col min="34" max="37" width="12" customWidth="1"/>
  </cols>
  <sheetData>
    <row r="1" spans="1:37" ht="17.25" customHeight="1" x14ac:dyDescent="0.3">
      <c r="A1" s="8" t="s">
        <v>0</v>
      </c>
    </row>
    <row r="2" spans="1:37" ht="30" customHeight="1" x14ac:dyDescent="0.3">
      <c r="A2" s="7" t="s">
        <v>1</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row>
    <row r="4" spans="1:37" ht="30" customHeight="1" x14ac:dyDescent="0.3">
      <c r="A4" s="9" t="s">
        <v>2</v>
      </c>
      <c r="B4" s="9" t="s">
        <v>3</v>
      </c>
      <c r="C4" s="9" t="s">
        <v>4</v>
      </c>
      <c r="D4" s="9" t="s">
        <v>5</v>
      </c>
      <c r="E4" s="9" t="s">
        <v>6</v>
      </c>
      <c r="F4" s="9" t="s">
        <v>7</v>
      </c>
      <c r="G4" s="9" t="s">
        <v>8</v>
      </c>
      <c r="H4" s="9" t="s">
        <v>9</v>
      </c>
      <c r="I4" s="9" t="s">
        <v>10</v>
      </c>
      <c r="J4" s="9" t="s">
        <v>11</v>
      </c>
      <c r="K4" s="9" t="s">
        <v>12</v>
      </c>
      <c r="L4" s="9" t="s">
        <v>13</v>
      </c>
      <c r="M4" s="9" t="s">
        <v>14</v>
      </c>
      <c r="N4" s="9" t="s">
        <v>15</v>
      </c>
      <c r="O4" s="9" t="s">
        <v>16</v>
      </c>
      <c r="P4" s="9" t="s">
        <v>17</v>
      </c>
      <c r="Q4" s="9" t="s">
        <v>18</v>
      </c>
      <c r="R4" s="9" t="s">
        <v>19</v>
      </c>
      <c r="S4" s="9" t="s">
        <v>20</v>
      </c>
      <c r="T4" s="9" t="s">
        <v>21</v>
      </c>
      <c r="U4" s="9" t="s">
        <v>22</v>
      </c>
      <c r="V4" s="9" t="s">
        <v>23</v>
      </c>
      <c r="W4" s="9" t="s">
        <v>24</v>
      </c>
      <c r="X4" s="9" t="s">
        <v>25</v>
      </c>
      <c r="Y4" s="9" t="s">
        <v>26</v>
      </c>
      <c r="Z4" s="9" t="s">
        <v>27</v>
      </c>
      <c r="AA4" s="9" t="s">
        <v>28</v>
      </c>
      <c r="AB4" s="9" t="s">
        <v>29</v>
      </c>
      <c r="AC4" s="9" t="s">
        <v>30</v>
      </c>
      <c r="AD4" s="9" t="s">
        <v>31</v>
      </c>
      <c r="AE4" s="9" t="s">
        <v>32</v>
      </c>
      <c r="AF4" s="9" t="s">
        <v>33</v>
      </c>
      <c r="AH4" s="10" t="s">
        <v>34</v>
      </c>
      <c r="AI4" s="10" t="s">
        <v>35</v>
      </c>
      <c r="AJ4" s="10" t="s">
        <v>36</v>
      </c>
      <c r="AK4" s="10" t="s">
        <v>37</v>
      </c>
    </row>
    <row r="5" spans="1:37" x14ac:dyDescent="0.3">
      <c r="A5" s="11" t="s">
        <v>38</v>
      </c>
      <c r="B5" s="12">
        <v>1</v>
      </c>
      <c r="C5" s="12">
        <v>2</v>
      </c>
      <c r="D5" s="12">
        <v>3</v>
      </c>
      <c r="E5" s="12">
        <v>4</v>
      </c>
      <c r="F5" s="12">
        <v>5</v>
      </c>
      <c r="G5" s="13" t="s">
        <v>39</v>
      </c>
      <c r="H5" s="13" t="s">
        <v>39</v>
      </c>
      <c r="I5" s="13" t="s">
        <v>39</v>
      </c>
      <c r="J5" s="13" t="s">
        <v>39</v>
      </c>
      <c r="K5" s="13" t="s">
        <v>39</v>
      </c>
      <c r="L5" s="13" t="s">
        <v>39</v>
      </c>
      <c r="M5" s="13" t="s">
        <v>39</v>
      </c>
      <c r="N5" s="13" t="s">
        <v>39</v>
      </c>
      <c r="O5" s="13" t="s">
        <v>39</v>
      </c>
      <c r="P5" s="13" t="s">
        <v>39</v>
      </c>
      <c r="Q5" s="13" t="s">
        <v>39</v>
      </c>
      <c r="R5" s="13" t="s">
        <v>39</v>
      </c>
      <c r="S5" s="13" t="s">
        <v>39</v>
      </c>
      <c r="T5" s="13" t="s">
        <v>39</v>
      </c>
      <c r="U5" s="13" t="s">
        <v>39</v>
      </c>
      <c r="V5" s="13" t="s">
        <v>39</v>
      </c>
      <c r="W5" s="13" t="s">
        <v>39</v>
      </c>
      <c r="X5" s="13" t="s">
        <v>39</v>
      </c>
      <c r="Y5" s="13" t="s">
        <v>39</v>
      </c>
      <c r="Z5" s="13" t="s">
        <v>39</v>
      </c>
      <c r="AA5" s="13" t="s">
        <v>39</v>
      </c>
      <c r="AB5" s="13" t="s">
        <v>39</v>
      </c>
      <c r="AC5" s="13" t="s">
        <v>39</v>
      </c>
      <c r="AD5" s="13" t="s">
        <v>39</v>
      </c>
      <c r="AE5" s="13" t="s">
        <v>39</v>
      </c>
      <c r="AF5" s="14" t="s">
        <v>40</v>
      </c>
      <c r="AH5" s="15">
        <f t="shared" ref="AH5:AH32" si="0">COUNT($B5:$AF5)</f>
        <v>5</v>
      </c>
      <c r="AI5" s="15">
        <f t="shared" ref="AI5:AI32" si="1">COUNTIF($B5:$AF5,"Pop")</f>
        <v>1</v>
      </c>
      <c r="AJ5" s="15">
        <f t="shared" ref="AJ5:AJ32" si="2">COUNTIF($B5:$AF5,"Scan")</f>
        <v>25</v>
      </c>
      <c r="AK5" s="15">
        <f t="shared" ref="AK5:AK32" si="3">SUM(AH5:AJ5)</f>
        <v>31</v>
      </c>
    </row>
    <row r="6" spans="1:37" x14ac:dyDescent="0.3">
      <c r="A6" s="11" t="s">
        <v>41</v>
      </c>
      <c r="B6" s="13" t="s">
        <v>39</v>
      </c>
      <c r="C6" s="13" t="s">
        <v>39</v>
      </c>
      <c r="D6" s="13" t="s">
        <v>39</v>
      </c>
      <c r="E6" s="13" t="s">
        <v>39</v>
      </c>
      <c r="F6" s="13" t="s">
        <v>39</v>
      </c>
      <c r="G6" s="12">
        <v>6</v>
      </c>
      <c r="H6" s="13" t="s">
        <v>39</v>
      </c>
      <c r="I6" s="13" t="s">
        <v>39</v>
      </c>
      <c r="J6" s="13" t="s">
        <v>39</v>
      </c>
      <c r="K6" s="13" t="s">
        <v>39</v>
      </c>
      <c r="L6" s="12">
        <v>7</v>
      </c>
      <c r="M6" s="13" t="s">
        <v>39</v>
      </c>
      <c r="N6" s="13" t="s">
        <v>39</v>
      </c>
      <c r="O6" s="13" t="s">
        <v>39</v>
      </c>
      <c r="P6" s="13" t="s">
        <v>39</v>
      </c>
      <c r="Q6" s="13" t="s">
        <v>39</v>
      </c>
      <c r="R6" s="13" t="s">
        <v>39</v>
      </c>
      <c r="S6" s="13" t="s">
        <v>39</v>
      </c>
      <c r="T6" s="13" t="s">
        <v>39</v>
      </c>
      <c r="U6" s="13" t="s">
        <v>39</v>
      </c>
      <c r="V6" s="13" t="s">
        <v>39</v>
      </c>
      <c r="W6" s="13" t="s">
        <v>39</v>
      </c>
      <c r="X6" s="13" t="s">
        <v>39</v>
      </c>
      <c r="Y6" s="13" t="s">
        <v>39</v>
      </c>
      <c r="Z6" s="13" t="s">
        <v>39</v>
      </c>
      <c r="AA6" s="13" t="s">
        <v>39</v>
      </c>
      <c r="AB6" s="13" t="s">
        <v>39</v>
      </c>
      <c r="AC6" s="13" t="s">
        <v>39</v>
      </c>
      <c r="AD6" s="13" t="s">
        <v>39</v>
      </c>
      <c r="AE6" s="13" t="s">
        <v>39</v>
      </c>
      <c r="AF6" s="14" t="s">
        <v>40</v>
      </c>
      <c r="AH6" s="15">
        <f t="shared" si="0"/>
        <v>2</v>
      </c>
      <c r="AI6" s="15">
        <f t="shared" si="1"/>
        <v>1</v>
      </c>
      <c r="AJ6" s="15">
        <f t="shared" si="2"/>
        <v>28</v>
      </c>
      <c r="AK6" s="15">
        <f t="shared" si="3"/>
        <v>31</v>
      </c>
    </row>
    <row r="7" spans="1:37" x14ac:dyDescent="0.3">
      <c r="A7" s="11" t="s">
        <v>42</v>
      </c>
      <c r="B7" s="13" t="s">
        <v>39</v>
      </c>
      <c r="C7" s="13" t="s">
        <v>39</v>
      </c>
      <c r="D7" s="13" t="s">
        <v>39</v>
      </c>
      <c r="E7" s="13" t="s">
        <v>39</v>
      </c>
      <c r="F7" s="13" t="s">
        <v>39</v>
      </c>
      <c r="G7" s="13" t="s">
        <v>39</v>
      </c>
      <c r="H7" s="13" t="s">
        <v>39</v>
      </c>
      <c r="I7" s="13" t="s">
        <v>39</v>
      </c>
      <c r="J7" s="13" t="s">
        <v>39</v>
      </c>
      <c r="K7" s="13" t="s">
        <v>39</v>
      </c>
      <c r="L7" s="12">
        <v>8</v>
      </c>
      <c r="M7" s="13" t="s">
        <v>39</v>
      </c>
      <c r="N7" s="13" t="s">
        <v>39</v>
      </c>
      <c r="O7" s="13" t="s">
        <v>39</v>
      </c>
      <c r="P7" s="13" t="s">
        <v>39</v>
      </c>
      <c r="Q7" s="13" t="s">
        <v>39</v>
      </c>
      <c r="R7" s="13" t="s">
        <v>39</v>
      </c>
      <c r="S7" s="13" t="s">
        <v>39</v>
      </c>
      <c r="T7" s="13" t="s">
        <v>39</v>
      </c>
      <c r="U7" s="13" t="s">
        <v>39</v>
      </c>
      <c r="V7" s="13" t="s">
        <v>39</v>
      </c>
      <c r="W7" s="13" t="s">
        <v>39</v>
      </c>
      <c r="X7" s="13" t="s">
        <v>39</v>
      </c>
      <c r="Y7" s="13" t="s">
        <v>39</v>
      </c>
      <c r="Z7" s="13" t="s">
        <v>39</v>
      </c>
      <c r="AA7" s="13" t="s">
        <v>39</v>
      </c>
      <c r="AB7" s="13" t="s">
        <v>39</v>
      </c>
      <c r="AC7" s="13" t="s">
        <v>39</v>
      </c>
      <c r="AD7" s="13" t="s">
        <v>39</v>
      </c>
      <c r="AE7" s="13" t="s">
        <v>39</v>
      </c>
      <c r="AF7" s="14" t="s">
        <v>40</v>
      </c>
      <c r="AH7" s="15">
        <f t="shared" si="0"/>
        <v>1</v>
      </c>
      <c r="AI7" s="15">
        <f t="shared" si="1"/>
        <v>1</v>
      </c>
      <c r="AJ7" s="15">
        <f t="shared" si="2"/>
        <v>29</v>
      </c>
      <c r="AK7" s="15">
        <f t="shared" si="3"/>
        <v>31</v>
      </c>
    </row>
    <row r="8" spans="1:37" x14ac:dyDescent="0.3">
      <c r="A8" s="11" t="s">
        <v>43</v>
      </c>
      <c r="B8" s="12">
        <v>9</v>
      </c>
      <c r="C8" s="12">
        <v>9</v>
      </c>
      <c r="D8" s="12">
        <v>9</v>
      </c>
      <c r="E8" s="12">
        <v>9</v>
      </c>
      <c r="F8" s="12">
        <v>9</v>
      </c>
      <c r="G8" s="13" t="s">
        <v>39</v>
      </c>
      <c r="H8" s="13" t="s">
        <v>39</v>
      </c>
      <c r="I8" s="13" t="s">
        <v>39</v>
      </c>
      <c r="J8" s="13" t="s">
        <v>39</v>
      </c>
      <c r="K8" s="13" t="s">
        <v>39</v>
      </c>
      <c r="L8" s="13" t="s">
        <v>39</v>
      </c>
      <c r="M8" s="13" t="s">
        <v>39</v>
      </c>
      <c r="N8" s="13" t="s">
        <v>39</v>
      </c>
      <c r="O8" s="14" t="s">
        <v>40</v>
      </c>
      <c r="P8" s="13" t="s">
        <v>39</v>
      </c>
      <c r="Q8" s="13" t="s">
        <v>39</v>
      </c>
      <c r="R8" s="13" t="s">
        <v>39</v>
      </c>
      <c r="S8" s="13" t="s">
        <v>39</v>
      </c>
      <c r="T8" s="13" t="s">
        <v>39</v>
      </c>
      <c r="U8" s="13" t="s">
        <v>39</v>
      </c>
      <c r="V8" s="13" t="s">
        <v>39</v>
      </c>
      <c r="W8" s="13" t="s">
        <v>39</v>
      </c>
      <c r="X8" s="13" t="s">
        <v>39</v>
      </c>
      <c r="Y8" s="13" t="s">
        <v>39</v>
      </c>
      <c r="Z8" s="13" t="s">
        <v>39</v>
      </c>
      <c r="AA8" s="13" t="s">
        <v>39</v>
      </c>
      <c r="AB8" s="13" t="s">
        <v>39</v>
      </c>
      <c r="AC8" s="13" t="s">
        <v>39</v>
      </c>
      <c r="AD8" s="13" t="s">
        <v>39</v>
      </c>
      <c r="AE8" s="13" t="s">
        <v>39</v>
      </c>
      <c r="AF8" s="14" t="s">
        <v>40</v>
      </c>
      <c r="AH8" s="15">
        <f t="shared" si="0"/>
        <v>5</v>
      </c>
      <c r="AI8" s="15">
        <f t="shared" si="1"/>
        <v>2</v>
      </c>
      <c r="AJ8" s="15">
        <f t="shared" si="2"/>
        <v>24</v>
      </c>
      <c r="AK8" s="15">
        <f t="shared" si="3"/>
        <v>31</v>
      </c>
    </row>
    <row r="9" spans="1:37" x14ac:dyDescent="0.3">
      <c r="A9" s="11" t="s">
        <v>44</v>
      </c>
      <c r="B9" s="13" t="s">
        <v>39</v>
      </c>
      <c r="C9" s="13" t="s">
        <v>39</v>
      </c>
      <c r="D9" s="13" t="s">
        <v>39</v>
      </c>
      <c r="E9" s="13" t="s">
        <v>39</v>
      </c>
      <c r="F9" s="13" t="s">
        <v>39</v>
      </c>
      <c r="G9" s="13" t="s">
        <v>39</v>
      </c>
      <c r="H9" s="13" t="s">
        <v>39</v>
      </c>
      <c r="I9" s="13" t="s">
        <v>39</v>
      </c>
      <c r="J9" s="13" t="s">
        <v>39</v>
      </c>
      <c r="K9" s="13" t="s">
        <v>39</v>
      </c>
      <c r="L9" s="13" t="s">
        <v>39</v>
      </c>
      <c r="M9" s="13" t="s">
        <v>39</v>
      </c>
      <c r="N9" s="13" t="s">
        <v>39</v>
      </c>
      <c r="O9" s="12">
        <v>11</v>
      </c>
      <c r="P9" s="13" t="s">
        <v>39</v>
      </c>
      <c r="Q9" s="13" t="s">
        <v>39</v>
      </c>
      <c r="R9" s="12">
        <v>10</v>
      </c>
      <c r="S9" s="13" t="s">
        <v>39</v>
      </c>
      <c r="T9" s="13" t="s">
        <v>39</v>
      </c>
      <c r="U9" s="13" t="s">
        <v>39</v>
      </c>
      <c r="V9" s="13" t="s">
        <v>39</v>
      </c>
      <c r="W9" s="13" t="s">
        <v>39</v>
      </c>
      <c r="X9" s="13" t="s">
        <v>39</v>
      </c>
      <c r="Y9" s="13" t="s">
        <v>39</v>
      </c>
      <c r="Z9" s="13" t="s">
        <v>39</v>
      </c>
      <c r="AA9" s="13" t="s">
        <v>39</v>
      </c>
      <c r="AB9" s="13" t="s">
        <v>39</v>
      </c>
      <c r="AC9" s="13" t="s">
        <v>39</v>
      </c>
      <c r="AD9" s="13" t="s">
        <v>39</v>
      </c>
      <c r="AE9" s="13" t="s">
        <v>39</v>
      </c>
      <c r="AF9" s="14" t="s">
        <v>40</v>
      </c>
      <c r="AH9" s="15">
        <f t="shared" si="0"/>
        <v>2</v>
      </c>
      <c r="AI9" s="15">
        <f t="shared" si="1"/>
        <v>1</v>
      </c>
      <c r="AJ9" s="15">
        <f t="shared" si="2"/>
        <v>28</v>
      </c>
      <c r="AK9" s="15">
        <f t="shared" si="3"/>
        <v>31</v>
      </c>
    </row>
    <row r="10" spans="1:37" x14ac:dyDescent="0.3">
      <c r="A10" s="11" t="s">
        <v>45</v>
      </c>
      <c r="B10" s="12">
        <v>12</v>
      </c>
      <c r="C10" s="12">
        <v>12</v>
      </c>
      <c r="D10" s="12">
        <v>12</v>
      </c>
      <c r="E10" s="12">
        <v>12</v>
      </c>
      <c r="F10" s="12">
        <v>12</v>
      </c>
      <c r="G10" s="13" t="s">
        <v>39</v>
      </c>
      <c r="H10" s="13" t="s">
        <v>39</v>
      </c>
      <c r="I10" s="13" t="s">
        <v>39</v>
      </c>
      <c r="J10" s="13" t="s">
        <v>39</v>
      </c>
      <c r="K10" s="13" t="s">
        <v>39</v>
      </c>
      <c r="L10" s="13" t="s">
        <v>39</v>
      </c>
      <c r="M10" s="13" t="s">
        <v>39</v>
      </c>
      <c r="N10" s="13" t="s">
        <v>39</v>
      </c>
      <c r="O10" s="14" t="s">
        <v>40</v>
      </c>
      <c r="P10" s="13" t="s">
        <v>39</v>
      </c>
      <c r="Q10" s="13" t="s">
        <v>39</v>
      </c>
      <c r="R10" s="14" t="s">
        <v>40</v>
      </c>
      <c r="S10" s="13" t="s">
        <v>39</v>
      </c>
      <c r="T10" s="13" t="s">
        <v>39</v>
      </c>
      <c r="U10" s="13" t="s">
        <v>39</v>
      </c>
      <c r="V10" s="13" t="s">
        <v>39</v>
      </c>
      <c r="W10" s="13" t="s">
        <v>39</v>
      </c>
      <c r="X10" s="13" t="s">
        <v>39</v>
      </c>
      <c r="Y10" s="13" t="s">
        <v>39</v>
      </c>
      <c r="Z10" s="13" t="s">
        <v>39</v>
      </c>
      <c r="AA10" s="13" t="s">
        <v>39</v>
      </c>
      <c r="AB10" s="13" t="s">
        <v>39</v>
      </c>
      <c r="AC10" s="13" t="s">
        <v>39</v>
      </c>
      <c r="AD10" s="13" t="s">
        <v>39</v>
      </c>
      <c r="AE10" s="13" t="s">
        <v>39</v>
      </c>
      <c r="AF10" s="14" t="s">
        <v>40</v>
      </c>
      <c r="AH10" s="15">
        <f t="shared" si="0"/>
        <v>5</v>
      </c>
      <c r="AI10" s="15">
        <f t="shared" si="1"/>
        <v>3</v>
      </c>
      <c r="AJ10" s="15">
        <f t="shared" si="2"/>
        <v>23</v>
      </c>
      <c r="AK10" s="15">
        <f t="shared" si="3"/>
        <v>31</v>
      </c>
    </row>
    <row r="11" spans="1:37" x14ac:dyDescent="0.3">
      <c r="A11" s="11" t="s">
        <v>46</v>
      </c>
      <c r="B11" s="12">
        <v>13</v>
      </c>
      <c r="C11" s="12">
        <v>13</v>
      </c>
      <c r="D11" s="12">
        <v>13</v>
      </c>
      <c r="E11" s="12">
        <v>13</v>
      </c>
      <c r="F11" s="12">
        <v>13</v>
      </c>
      <c r="G11" s="13" t="s">
        <v>39</v>
      </c>
      <c r="H11" s="14" t="s">
        <v>40</v>
      </c>
      <c r="I11" s="14" t="s">
        <v>40</v>
      </c>
      <c r="J11" s="14" t="s">
        <v>40</v>
      </c>
      <c r="K11" s="13" t="s">
        <v>39</v>
      </c>
      <c r="L11" s="14" t="s">
        <v>40</v>
      </c>
      <c r="M11" s="14" t="s">
        <v>40</v>
      </c>
      <c r="N11" s="14" t="s">
        <v>40</v>
      </c>
      <c r="O11" s="13" t="s">
        <v>39</v>
      </c>
      <c r="P11" s="14" t="s">
        <v>40</v>
      </c>
      <c r="Q11" s="14" t="s">
        <v>40</v>
      </c>
      <c r="R11" s="13" t="s">
        <v>39</v>
      </c>
      <c r="S11" s="14" t="s">
        <v>40</v>
      </c>
      <c r="T11" s="13" t="s">
        <v>39</v>
      </c>
      <c r="U11" s="13" t="s">
        <v>39</v>
      </c>
      <c r="V11" s="13" t="s">
        <v>39</v>
      </c>
      <c r="W11" s="13" t="s">
        <v>39</v>
      </c>
      <c r="X11" s="13" t="s">
        <v>39</v>
      </c>
      <c r="Y11" s="13" t="s">
        <v>39</v>
      </c>
      <c r="Z11" s="13" t="s">
        <v>39</v>
      </c>
      <c r="AA11" s="13" t="s">
        <v>39</v>
      </c>
      <c r="AB11" s="13" t="s">
        <v>39</v>
      </c>
      <c r="AC11" s="13" t="s">
        <v>39</v>
      </c>
      <c r="AD11" s="13" t="s">
        <v>39</v>
      </c>
      <c r="AE11" s="13" t="s">
        <v>39</v>
      </c>
      <c r="AF11" s="14" t="s">
        <v>40</v>
      </c>
      <c r="AH11" s="15">
        <f t="shared" si="0"/>
        <v>5</v>
      </c>
      <c r="AI11" s="15">
        <f t="shared" si="1"/>
        <v>10</v>
      </c>
      <c r="AJ11" s="15">
        <f t="shared" si="2"/>
        <v>16</v>
      </c>
      <c r="AK11" s="15">
        <f t="shared" si="3"/>
        <v>31</v>
      </c>
    </row>
    <row r="12" spans="1:37" x14ac:dyDescent="0.3">
      <c r="A12" s="11" t="s">
        <v>47</v>
      </c>
      <c r="B12" s="13" t="s">
        <v>39</v>
      </c>
      <c r="C12" s="13" t="s">
        <v>39</v>
      </c>
      <c r="D12" s="13" t="s">
        <v>39</v>
      </c>
      <c r="E12" s="13" t="s">
        <v>39</v>
      </c>
      <c r="F12" s="13" t="s">
        <v>39</v>
      </c>
      <c r="G12" s="13" t="s">
        <v>39</v>
      </c>
      <c r="H12" s="13" t="s">
        <v>39</v>
      </c>
      <c r="I12" s="13" t="s">
        <v>39</v>
      </c>
      <c r="J12" s="13" t="s">
        <v>39</v>
      </c>
      <c r="K12" s="13" t="s">
        <v>39</v>
      </c>
      <c r="L12" s="12">
        <v>14</v>
      </c>
      <c r="M12" s="13" t="s">
        <v>39</v>
      </c>
      <c r="N12" s="13" t="s">
        <v>39</v>
      </c>
      <c r="O12" s="13" t="s">
        <v>39</v>
      </c>
      <c r="P12" s="13" t="s">
        <v>39</v>
      </c>
      <c r="Q12" s="13" t="s">
        <v>39</v>
      </c>
      <c r="R12" s="13" t="s">
        <v>39</v>
      </c>
      <c r="S12" s="14" t="s">
        <v>40</v>
      </c>
      <c r="T12" s="13" t="s">
        <v>39</v>
      </c>
      <c r="U12" s="13" t="s">
        <v>39</v>
      </c>
      <c r="V12" s="13" t="s">
        <v>39</v>
      </c>
      <c r="W12" s="13" t="s">
        <v>39</v>
      </c>
      <c r="X12" s="13" t="s">
        <v>39</v>
      </c>
      <c r="Y12" s="13" t="s">
        <v>39</v>
      </c>
      <c r="Z12" s="13" t="s">
        <v>39</v>
      </c>
      <c r="AA12" s="13" t="s">
        <v>39</v>
      </c>
      <c r="AB12" s="13" t="s">
        <v>39</v>
      </c>
      <c r="AC12" s="13" t="s">
        <v>39</v>
      </c>
      <c r="AD12" s="13" t="s">
        <v>39</v>
      </c>
      <c r="AE12" s="13" t="s">
        <v>39</v>
      </c>
      <c r="AF12" s="14" t="s">
        <v>40</v>
      </c>
      <c r="AH12" s="15">
        <f t="shared" si="0"/>
        <v>1</v>
      </c>
      <c r="AI12" s="15">
        <f t="shared" si="1"/>
        <v>2</v>
      </c>
      <c r="AJ12" s="15">
        <f t="shared" si="2"/>
        <v>28</v>
      </c>
      <c r="AK12" s="15">
        <f t="shared" si="3"/>
        <v>31</v>
      </c>
    </row>
    <row r="13" spans="1:37" x14ac:dyDescent="0.3">
      <c r="A13" s="11" t="s">
        <v>48</v>
      </c>
      <c r="B13" s="13" t="s">
        <v>39</v>
      </c>
      <c r="C13" s="13" t="s">
        <v>39</v>
      </c>
      <c r="D13" s="13" t="s">
        <v>39</v>
      </c>
      <c r="E13" s="13" t="s">
        <v>39</v>
      </c>
      <c r="F13" s="13" t="s">
        <v>39</v>
      </c>
      <c r="G13" s="13" t="s">
        <v>39</v>
      </c>
      <c r="H13" s="13" t="s">
        <v>39</v>
      </c>
      <c r="I13" s="13" t="s">
        <v>39</v>
      </c>
      <c r="J13" s="13" t="s">
        <v>39</v>
      </c>
      <c r="K13" s="13" t="s">
        <v>39</v>
      </c>
      <c r="L13" s="13" t="s">
        <v>39</v>
      </c>
      <c r="M13" s="13" t="s">
        <v>39</v>
      </c>
      <c r="N13" s="13" t="s">
        <v>39</v>
      </c>
      <c r="O13" s="13" t="s">
        <v>39</v>
      </c>
      <c r="P13" s="13" t="s">
        <v>39</v>
      </c>
      <c r="Q13" s="13" t="s">
        <v>39</v>
      </c>
      <c r="R13" s="12">
        <v>15</v>
      </c>
      <c r="S13" s="12">
        <v>16</v>
      </c>
      <c r="T13" s="13" t="s">
        <v>39</v>
      </c>
      <c r="U13" s="13" t="s">
        <v>39</v>
      </c>
      <c r="V13" s="13" t="s">
        <v>39</v>
      </c>
      <c r="W13" s="13" t="s">
        <v>39</v>
      </c>
      <c r="X13" s="13" t="s">
        <v>39</v>
      </c>
      <c r="Y13" s="13" t="s">
        <v>39</v>
      </c>
      <c r="Z13" s="13" t="s">
        <v>39</v>
      </c>
      <c r="AA13" s="13" t="s">
        <v>39</v>
      </c>
      <c r="AB13" s="13" t="s">
        <v>39</v>
      </c>
      <c r="AC13" s="13" t="s">
        <v>39</v>
      </c>
      <c r="AD13" s="13" t="s">
        <v>39</v>
      </c>
      <c r="AE13" s="13" t="s">
        <v>39</v>
      </c>
      <c r="AF13" s="14" t="s">
        <v>40</v>
      </c>
      <c r="AH13" s="15">
        <f t="shared" si="0"/>
        <v>2</v>
      </c>
      <c r="AI13" s="15">
        <f t="shared" si="1"/>
        <v>1</v>
      </c>
      <c r="AJ13" s="15">
        <f t="shared" si="2"/>
        <v>28</v>
      </c>
      <c r="AK13" s="15">
        <f t="shared" si="3"/>
        <v>31</v>
      </c>
    </row>
    <row r="14" spans="1:37" x14ac:dyDescent="0.3">
      <c r="A14" s="11" t="s">
        <v>49</v>
      </c>
      <c r="B14" s="12">
        <v>17</v>
      </c>
      <c r="C14" s="12">
        <v>18</v>
      </c>
      <c r="D14" s="12">
        <v>19</v>
      </c>
      <c r="E14" s="12">
        <v>20</v>
      </c>
      <c r="F14" s="12">
        <v>21</v>
      </c>
      <c r="G14" s="13" t="s">
        <v>39</v>
      </c>
      <c r="H14" s="13" t="s">
        <v>39</v>
      </c>
      <c r="I14" s="13" t="s">
        <v>39</v>
      </c>
      <c r="J14" s="13" t="s">
        <v>39</v>
      </c>
      <c r="K14" s="13" t="s">
        <v>39</v>
      </c>
      <c r="L14" s="14" t="s">
        <v>40</v>
      </c>
      <c r="M14" s="13" t="s">
        <v>39</v>
      </c>
      <c r="N14" s="13" t="s">
        <v>39</v>
      </c>
      <c r="O14" s="13" t="s">
        <v>39</v>
      </c>
      <c r="P14" s="13" t="s">
        <v>39</v>
      </c>
      <c r="Q14" s="13" t="s">
        <v>39</v>
      </c>
      <c r="R14" s="13" t="s">
        <v>39</v>
      </c>
      <c r="S14" s="13" t="s">
        <v>39</v>
      </c>
      <c r="T14" s="13" t="s">
        <v>39</v>
      </c>
      <c r="U14" s="13" t="s">
        <v>39</v>
      </c>
      <c r="V14" s="13" t="s">
        <v>39</v>
      </c>
      <c r="W14" s="13" t="s">
        <v>39</v>
      </c>
      <c r="X14" s="13" t="s">
        <v>39</v>
      </c>
      <c r="Y14" s="13" t="s">
        <v>39</v>
      </c>
      <c r="Z14" s="13" t="s">
        <v>39</v>
      </c>
      <c r="AA14" s="13" t="s">
        <v>39</v>
      </c>
      <c r="AB14" s="13" t="s">
        <v>39</v>
      </c>
      <c r="AC14" s="13" t="s">
        <v>39</v>
      </c>
      <c r="AD14" s="13" t="s">
        <v>39</v>
      </c>
      <c r="AE14" s="13" t="s">
        <v>39</v>
      </c>
      <c r="AF14" s="14" t="s">
        <v>40</v>
      </c>
      <c r="AH14" s="15">
        <f t="shared" si="0"/>
        <v>5</v>
      </c>
      <c r="AI14" s="15">
        <f t="shared" si="1"/>
        <v>2</v>
      </c>
      <c r="AJ14" s="15">
        <f t="shared" si="2"/>
        <v>24</v>
      </c>
      <c r="AK14" s="15">
        <f t="shared" si="3"/>
        <v>31</v>
      </c>
    </row>
    <row r="15" spans="1:37" x14ac:dyDescent="0.3">
      <c r="A15" s="11" t="s">
        <v>50</v>
      </c>
      <c r="B15" s="12">
        <v>27</v>
      </c>
      <c r="C15" s="12">
        <v>27</v>
      </c>
      <c r="D15" s="12">
        <v>27</v>
      </c>
      <c r="E15" s="12">
        <v>27</v>
      </c>
      <c r="F15" s="12">
        <v>27</v>
      </c>
      <c r="G15" s="13" t="s">
        <v>39</v>
      </c>
      <c r="H15" s="12">
        <v>22</v>
      </c>
      <c r="I15" s="12">
        <v>23</v>
      </c>
      <c r="J15" s="12">
        <v>25</v>
      </c>
      <c r="K15" s="13" t="s">
        <v>39</v>
      </c>
      <c r="L15" s="12">
        <v>24</v>
      </c>
      <c r="M15" s="12">
        <v>24</v>
      </c>
      <c r="N15" s="12">
        <v>24</v>
      </c>
      <c r="O15" s="13" t="s">
        <v>39</v>
      </c>
      <c r="P15" s="12">
        <v>26</v>
      </c>
      <c r="Q15" s="14" t="s">
        <v>40</v>
      </c>
      <c r="R15" s="13" t="s">
        <v>39</v>
      </c>
      <c r="S15" s="12">
        <v>28</v>
      </c>
      <c r="T15" s="13" t="s">
        <v>39</v>
      </c>
      <c r="U15" s="13" t="s">
        <v>39</v>
      </c>
      <c r="V15" s="13" t="s">
        <v>39</v>
      </c>
      <c r="W15" s="13" t="s">
        <v>39</v>
      </c>
      <c r="X15" s="13" t="s">
        <v>39</v>
      </c>
      <c r="Y15" s="13" t="s">
        <v>39</v>
      </c>
      <c r="Z15" s="13" t="s">
        <v>39</v>
      </c>
      <c r="AA15" s="13" t="s">
        <v>39</v>
      </c>
      <c r="AB15" s="13" t="s">
        <v>39</v>
      </c>
      <c r="AC15" s="13" t="s">
        <v>39</v>
      </c>
      <c r="AD15" s="13" t="s">
        <v>39</v>
      </c>
      <c r="AE15" s="13" t="s">
        <v>39</v>
      </c>
      <c r="AF15" s="14" t="s">
        <v>40</v>
      </c>
      <c r="AH15" s="15">
        <f t="shared" si="0"/>
        <v>13</v>
      </c>
      <c r="AI15" s="15">
        <f t="shared" si="1"/>
        <v>2</v>
      </c>
      <c r="AJ15" s="15">
        <f t="shared" si="2"/>
        <v>16</v>
      </c>
      <c r="AK15" s="15">
        <f t="shared" si="3"/>
        <v>31</v>
      </c>
    </row>
    <row r="16" spans="1:37" x14ac:dyDescent="0.3">
      <c r="A16" s="11" t="s">
        <v>51</v>
      </c>
      <c r="B16" s="14" t="s">
        <v>40</v>
      </c>
      <c r="C16" s="14" t="s">
        <v>40</v>
      </c>
      <c r="D16" s="14" t="s">
        <v>40</v>
      </c>
      <c r="E16" s="14" t="s">
        <v>40</v>
      </c>
      <c r="F16" s="14" t="s">
        <v>40</v>
      </c>
      <c r="G16" s="13" t="s">
        <v>39</v>
      </c>
      <c r="H16" s="12">
        <v>29</v>
      </c>
      <c r="I16" s="14" t="s">
        <v>40</v>
      </c>
      <c r="J16" s="14" t="s">
        <v>40</v>
      </c>
      <c r="K16" s="13" t="s">
        <v>39</v>
      </c>
      <c r="L16" s="14" t="s">
        <v>40</v>
      </c>
      <c r="M16" s="14" t="s">
        <v>40</v>
      </c>
      <c r="N16" s="14" t="s">
        <v>40</v>
      </c>
      <c r="O16" s="13" t="s">
        <v>39</v>
      </c>
      <c r="P16" s="14" t="s">
        <v>40</v>
      </c>
      <c r="Q16" s="14" t="s">
        <v>40</v>
      </c>
      <c r="R16" s="13" t="s">
        <v>39</v>
      </c>
      <c r="S16" s="14" t="s">
        <v>40</v>
      </c>
      <c r="T16" s="13" t="s">
        <v>39</v>
      </c>
      <c r="U16" s="13" t="s">
        <v>39</v>
      </c>
      <c r="V16" s="13" t="s">
        <v>39</v>
      </c>
      <c r="W16" s="13" t="s">
        <v>39</v>
      </c>
      <c r="X16" s="13" t="s">
        <v>39</v>
      </c>
      <c r="Y16" s="13" t="s">
        <v>39</v>
      </c>
      <c r="Z16" s="13" t="s">
        <v>39</v>
      </c>
      <c r="AA16" s="13" t="s">
        <v>39</v>
      </c>
      <c r="AB16" s="13" t="s">
        <v>39</v>
      </c>
      <c r="AC16" s="13" t="s">
        <v>39</v>
      </c>
      <c r="AD16" s="13" t="s">
        <v>39</v>
      </c>
      <c r="AE16" s="13" t="s">
        <v>39</v>
      </c>
      <c r="AF16" s="14" t="s">
        <v>40</v>
      </c>
      <c r="AH16" s="15">
        <f t="shared" si="0"/>
        <v>1</v>
      </c>
      <c r="AI16" s="15">
        <f t="shared" si="1"/>
        <v>14</v>
      </c>
      <c r="AJ16" s="15">
        <f t="shared" si="2"/>
        <v>16</v>
      </c>
      <c r="AK16" s="15">
        <f t="shared" si="3"/>
        <v>31</v>
      </c>
    </row>
    <row r="17" spans="1:37" x14ac:dyDescent="0.3">
      <c r="A17" s="11" t="s">
        <v>52</v>
      </c>
      <c r="B17" s="13" t="s">
        <v>39</v>
      </c>
      <c r="C17" s="13" t="s">
        <v>39</v>
      </c>
      <c r="D17" s="13" t="s">
        <v>39</v>
      </c>
      <c r="E17" s="13" t="s">
        <v>39</v>
      </c>
      <c r="F17" s="13" t="s">
        <v>39</v>
      </c>
      <c r="G17" s="13" t="s">
        <v>39</v>
      </c>
      <c r="H17" s="13" t="s">
        <v>39</v>
      </c>
      <c r="I17" s="13" t="s">
        <v>39</v>
      </c>
      <c r="J17" s="13" t="s">
        <v>39</v>
      </c>
      <c r="K17" s="13" t="s">
        <v>39</v>
      </c>
      <c r="L17" s="12">
        <v>30</v>
      </c>
      <c r="M17" s="12">
        <v>30</v>
      </c>
      <c r="N17" s="12">
        <v>30</v>
      </c>
      <c r="O17" s="12">
        <v>31</v>
      </c>
      <c r="P17" s="13" t="s">
        <v>39</v>
      </c>
      <c r="Q17" s="13" t="s">
        <v>39</v>
      </c>
      <c r="R17" s="13" t="s">
        <v>39</v>
      </c>
      <c r="S17" s="12">
        <v>31</v>
      </c>
      <c r="T17" s="13" t="s">
        <v>39</v>
      </c>
      <c r="U17" s="13" t="s">
        <v>39</v>
      </c>
      <c r="V17" s="13" t="s">
        <v>39</v>
      </c>
      <c r="W17" s="13" t="s">
        <v>39</v>
      </c>
      <c r="X17" s="13" t="s">
        <v>39</v>
      </c>
      <c r="Y17" s="13" t="s">
        <v>39</v>
      </c>
      <c r="Z17" s="13" t="s">
        <v>39</v>
      </c>
      <c r="AA17" s="13" t="s">
        <v>39</v>
      </c>
      <c r="AB17" s="13" t="s">
        <v>39</v>
      </c>
      <c r="AC17" s="13" t="s">
        <v>39</v>
      </c>
      <c r="AD17" s="13" t="s">
        <v>39</v>
      </c>
      <c r="AE17" s="13" t="s">
        <v>39</v>
      </c>
      <c r="AF17" s="14" t="s">
        <v>40</v>
      </c>
      <c r="AH17" s="15">
        <f t="shared" si="0"/>
        <v>5</v>
      </c>
      <c r="AI17" s="15">
        <f t="shared" si="1"/>
        <v>1</v>
      </c>
      <c r="AJ17" s="15">
        <f t="shared" si="2"/>
        <v>25</v>
      </c>
      <c r="AK17" s="15">
        <f t="shared" si="3"/>
        <v>31</v>
      </c>
    </row>
    <row r="18" spans="1:37" x14ac:dyDescent="0.3">
      <c r="A18" s="11" t="s">
        <v>53</v>
      </c>
      <c r="B18" s="14" t="s">
        <v>40</v>
      </c>
      <c r="C18" s="14" t="s">
        <v>40</v>
      </c>
      <c r="D18" s="14" t="s">
        <v>40</v>
      </c>
      <c r="E18" s="14" t="s">
        <v>40</v>
      </c>
      <c r="F18" s="14" t="s">
        <v>40</v>
      </c>
      <c r="G18" s="13" t="s">
        <v>39</v>
      </c>
      <c r="H18" s="14" t="s">
        <v>40</v>
      </c>
      <c r="I18" s="12">
        <v>32</v>
      </c>
      <c r="J18" s="14" t="s">
        <v>40</v>
      </c>
      <c r="K18" s="13" t="s">
        <v>39</v>
      </c>
      <c r="L18" s="14" t="s">
        <v>40</v>
      </c>
      <c r="M18" s="14" t="s">
        <v>40</v>
      </c>
      <c r="N18" s="14" t="s">
        <v>40</v>
      </c>
      <c r="O18" s="13" t="s">
        <v>39</v>
      </c>
      <c r="P18" s="14" t="s">
        <v>40</v>
      </c>
      <c r="Q18" s="14" t="s">
        <v>40</v>
      </c>
      <c r="R18" s="13" t="s">
        <v>39</v>
      </c>
      <c r="S18" s="14" t="s">
        <v>40</v>
      </c>
      <c r="T18" s="13" t="s">
        <v>39</v>
      </c>
      <c r="U18" s="13" t="s">
        <v>39</v>
      </c>
      <c r="V18" s="13" t="s">
        <v>39</v>
      </c>
      <c r="W18" s="13" t="s">
        <v>39</v>
      </c>
      <c r="X18" s="13" t="s">
        <v>39</v>
      </c>
      <c r="Y18" s="13" t="s">
        <v>39</v>
      </c>
      <c r="Z18" s="13" t="s">
        <v>39</v>
      </c>
      <c r="AA18" s="13" t="s">
        <v>39</v>
      </c>
      <c r="AB18" s="13" t="s">
        <v>39</v>
      </c>
      <c r="AC18" s="13" t="s">
        <v>39</v>
      </c>
      <c r="AD18" s="13" t="s">
        <v>39</v>
      </c>
      <c r="AE18" s="13" t="s">
        <v>39</v>
      </c>
      <c r="AF18" s="14" t="s">
        <v>40</v>
      </c>
      <c r="AH18" s="15">
        <f t="shared" si="0"/>
        <v>1</v>
      </c>
      <c r="AI18" s="15">
        <f t="shared" si="1"/>
        <v>14</v>
      </c>
      <c r="AJ18" s="15">
        <f t="shared" si="2"/>
        <v>16</v>
      </c>
      <c r="AK18" s="15">
        <f t="shared" si="3"/>
        <v>31</v>
      </c>
    </row>
    <row r="19" spans="1:37" x14ac:dyDescent="0.3">
      <c r="A19" s="11" t="s">
        <v>54</v>
      </c>
      <c r="B19" s="14" t="s">
        <v>40</v>
      </c>
      <c r="C19" s="14" t="s">
        <v>40</v>
      </c>
      <c r="D19" s="14" t="s">
        <v>40</v>
      </c>
      <c r="E19" s="14" t="s">
        <v>40</v>
      </c>
      <c r="F19" s="14" t="s">
        <v>40</v>
      </c>
      <c r="G19" s="13" t="s">
        <v>39</v>
      </c>
      <c r="H19" s="14" t="s">
        <v>40</v>
      </c>
      <c r="I19" s="14" t="s">
        <v>40</v>
      </c>
      <c r="J19" s="12">
        <v>33</v>
      </c>
      <c r="K19" s="13" t="s">
        <v>39</v>
      </c>
      <c r="L19" s="14" t="s">
        <v>40</v>
      </c>
      <c r="M19" s="14" t="s">
        <v>40</v>
      </c>
      <c r="N19" s="14" t="s">
        <v>40</v>
      </c>
      <c r="O19" s="13" t="s">
        <v>39</v>
      </c>
      <c r="P19" s="14" t="s">
        <v>40</v>
      </c>
      <c r="Q19" s="14" t="s">
        <v>40</v>
      </c>
      <c r="R19" s="13" t="s">
        <v>39</v>
      </c>
      <c r="S19" s="14" t="s">
        <v>40</v>
      </c>
      <c r="T19" s="13" t="s">
        <v>39</v>
      </c>
      <c r="U19" s="13" t="s">
        <v>39</v>
      </c>
      <c r="V19" s="13" t="s">
        <v>39</v>
      </c>
      <c r="W19" s="13" t="s">
        <v>39</v>
      </c>
      <c r="X19" s="13" t="s">
        <v>39</v>
      </c>
      <c r="Y19" s="13" t="s">
        <v>39</v>
      </c>
      <c r="Z19" s="13" t="s">
        <v>39</v>
      </c>
      <c r="AA19" s="13" t="s">
        <v>39</v>
      </c>
      <c r="AB19" s="13" t="s">
        <v>39</v>
      </c>
      <c r="AC19" s="13" t="s">
        <v>39</v>
      </c>
      <c r="AD19" s="13" t="s">
        <v>39</v>
      </c>
      <c r="AE19" s="13" t="s">
        <v>39</v>
      </c>
      <c r="AF19" s="14" t="s">
        <v>40</v>
      </c>
      <c r="AH19" s="15">
        <f t="shared" si="0"/>
        <v>1</v>
      </c>
      <c r="AI19" s="15">
        <f t="shared" si="1"/>
        <v>14</v>
      </c>
      <c r="AJ19" s="15">
        <f t="shared" si="2"/>
        <v>16</v>
      </c>
      <c r="AK19" s="15">
        <f t="shared" si="3"/>
        <v>31</v>
      </c>
    </row>
    <row r="20" spans="1:37" x14ac:dyDescent="0.3">
      <c r="A20" s="11" t="s">
        <v>55</v>
      </c>
      <c r="B20" s="12">
        <v>35</v>
      </c>
      <c r="C20" s="12">
        <v>35</v>
      </c>
      <c r="D20" s="12">
        <v>35</v>
      </c>
      <c r="E20" s="12">
        <v>35</v>
      </c>
      <c r="F20" s="12">
        <v>35</v>
      </c>
      <c r="G20" s="13" t="s">
        <v>39</v>
      </c>
      <c r="H20" s="12">
        <v>35</v>
      </c>
      <c r="I20" s="12">
        <v>35</v>
      </c>
      <c r="J20" s="12">
        <v>35</v>
      </c>
      <c r="K20" s="12">
        <v>34</v>
      </c>
      <c r="L20" s="12">
        <v>35</v>
      </c>
      <c r="M20" s="12">
        <v>35</v>
      </c>
      <c r="N20" s="12">
        <v>35</v>
      </c>
      <c r="O20" s="13" t="s">
        <v>39</v>
      </c>
      <c r="P20" s="12">
        <v>35</v>
      </c>
      <c r="Q20" s="12">
        <v>35</v>
      </c>
      <c r="R20" s="13" t="s">
        <v>39</v>
      </c>
      <c r="S20" s="12">
        <v>35</v>
      </c>
      <c r="T20" s="13" t="s">
        <v>39</v>
      </c>
      <c r="U20" s="13" t="s">
        <v>39</v>
      </c>
      <c r="V20" s="13" t="s">
        <v>39</v>
      </c>
      <c r="W20" s="13" t="s">
        <v>39</v>
      </c>
      <c r="X20" s="13" t="s">
        <v>39</v>
      </c>
      <c r="Y20" s="13" t="s">
        <v>39</v>
      </c>
      <c r="Z20" s="13" t="s">
        <v>39</v>
      </c>
      <c r="AA20" s="13" t="s">
        <v>39</v>
      </c>
      <c r="AB20" s="13" t="s">
        <v>39</v>
      </c>
      <c r="AC20" s="13" t="s">
        <v>39</v>
      </c>
      <c r="AD20" s="13" t="s">
        <v>39</v>
      </c>
      <c r="AE20" s="13" t="s">
        <v>39</v>
      </c>
      <c r="AF20" s="14" t="s">
        <v>40</v>
      </c>
      <c r="AH20" s="15">
        <f t="shared" si="0"/>
        <v>15</v>
      </c>
      <c r="AI20" s="15">
        <f t="shared" si="1"/>
        <v>1</v>
      </c>
      <c r="AJ20" s="15">
        <f t="shared" si="2"/>
        <v>15</v>
      </c>
      <c r="AK20" s="15">
        <f t="shared" si="3"/>
        <v>31</v>
      </c>
    </row>
    <row r="21" spans="1:37" x14ac:dyDescent="0.3">
      <c r="A21" s="11" t="s">
        <v>56</v>
      </c>
      <c r="B21" s="14" t="s">
        <v>40</v>
      </c>
      <c r="C21" s="14" t="s">
        <v>40</v>
      </c>
      <c r="D21" s="14" t="s">
        <v>40</v>
      </c>
      <c r="E21" s="14" t="s">
        <v>40</v>
      </c>
      <c r="F21" s="14" t="s">
        <v>40</v>
      </c>
      <c r="G21" s="13" t="s">
        <v>39</v>
      </c>
      <c r="H21" s="14" t="s">
        <v>40</v>
      </c>
      <c r="I21" s="14" t="s">
        <v>40</v>
      </c>
      <c r="J21" s="14" t="s">
        <v>40</v>
      </c>
      <c r="K21" s="14" t="s">
        <v>40</v>
      </c>
      <c r="L21" s="14" t="s">
        <v>40</v>
      </c>
      <c r="M21" s="14" t="s">
        <v>40</v>
      </c>
      <c r="N21" s="14" t="s">
        <v>40</v>
      </c>
      <c r="O21" s="13" t="s">
        <v>39</v>
      </c>
      <c r="P21" s="12">
        <v>36</v>
      </c>
      <c r="Q21" s="14" t="s">
        <v>40</v>
      </c>
      <c r="R21" s="13" t="s">
        <v>39</v>
      </c>
      <c r="S21" s="14" t="s">
        <v>40</v>
      </c>
      <c r="T21" s="13" t="s">
        <v>39</v>
      </c>
      <c r="U21" s="13" t="s">
        <v>39</v>
      </c>
      <c r="V21" s="13" t="s">
        <v>39</v>
      </c>
      <c r="W21" s="13" t="s">
        <v>39</v>
      </c>
      <c r="X21" s="13" t="s">
        <v>39</v>
      </c>
      <c r="Y21" s="13" t="s">
        <v>39</v>
      </c>
      <c r="Z21" s="13" t="s">
        <v>39</v>
      </c>
      <c r="AA21" s="13" t="s">
        <v>39</v>
      </c>
      <c r="AB21" s="13" t="s">
        <v>39</v>
      </c>
      <c r="AC21" s="13" t="s">
        <v>39</v>
      </c>
      <c r="AD21" s="13" t="s">
        <v>39</v>
      </c>
      <c r="AE21" s="13" t="s">
        <v>39</v>
      </c>
      <c r="AF21" s="14" t="s">
        <v>40</v>
      </c>
      <c r="AH21" s="15">
        <f t="shared" si="0"/>
        <v>1</v>
      </c>
      <c r="AI21" s="15">
        <f t="shared" si="1"/>
        <v>15</v>
      </c>
      <c r="AJ21" s="15">
        <f t="shared" si="2"/>
        <v>15</v>
      </c>
      <c r="AK21" s="15">
        <f t="shared" si="3"/>
        <v>31</v>
      </c>
    </row>
    <row r="22" spans="1:37" x14ac:dyDescent="0.3">
      <c r="A22" s="11" t="s">
        <v>57</v>
      </c>
      <c r="B22" s="12">
        <v>37</v>
      </c>
      <c r="C22" s="12">
        <v>37</v>
      </c>
      <c r="D22" s="12">
        <v>37</v>
      </c>
      <c r="E22" s="12">
        <v>37</v>
      </c>
      <c r="F22" s="12">
        <v>37</v>
      </c>
      <c r="G22" s="13" t="s">
        <v>39</v>
      </c>
      <c r="H22" s="12">
        <v>37</v>
      </c>
      <c r="I22" s="12">
        <v>37</v>
      </c>
      <c r="J22" s="12">
        <v>37</v>
      </c>
      <c r="K22" s="13" t="s">
        <v>39</v>
      </c>
      <c r="L22" s="12">
        <v>37</v>
      </c>
      <c r="M22" s="12">
        <v>37</v>
      </c>
      <c r="N22" s="12">
        <v>37</v>
      </c>
      <c r="O22" s="13" t="s">
        <v>39</v>
      </c>
      <c r="P22" s="12">
        <v>37</v>
      </c>
      <c r="Q22" s="12">
        <v>38</v>
      </c>
      <c r="R22" s="13" t="s">
        <v>39</v>
      </c>
      <c r="S22" s="12">
        <v>37</v>
      </c>
      <c r="T22" s="13" t="s">
        <v>39</v>
      </c>
      <c r="U22" s="13" t="s">
        <v>39</v>
      </c>
      <c r="V22" s="13" t="s">
        <v>39</v>
      </c>
      <c r="W22" s="13" t="s">
        <v>39</v>
      </c>
      <c r="X22" s="13" t="s">
        <v>39</v>
      </c>
      <c r="Y22" s="13" t="s">
        <v>39</v>
      </c>
      <c r="Z22" s="13" t="s">
        <v>39</v>
      </c>
      <c r="AA22" s="13" t="s">
        <v>39</v>
      </c>
      <c r="AB22" s="13" t="s">
        <v>39</v>
      </c>
      <c r="AC22" s="13" t="s">
        <v>39</v>
      </c>
      <c r="AD22" s="13" t="s">
        <v>39</v>
      </c>
      <c r="AE22" s="13" t="s">
        <v>39</v>
      </c>
      <c r="AF22" s="14" t="s">
        <v>40</v>
      </c>
      <c r="AH22" s="15">
        <f t="shared" si="0"/>
        <v>14</v>
      </c>
      <c r="AI22" s="15">
        <f t="shared" si="1"/>
        <v>1</v>
      </c>
      <c r="AJ22" s="15">
        <f t="shared" si="2"/>
        <v>16</v>
      </c>
      <c r="AK22" s="15">
        <f t="shared" si="3"/>
        <v>31</v>
      </c>
    </row>
    <row r="23" spans="1:37" x14ac:dyDescent="0.3">
      <c r="A23" s="11" t="s">
        <v>58</v>
      </c>
      <c r="B23" s="13" t="s">
        <v>39</v>
      </c>
      <c r="C23" s="13" t="s">
        <v>39</v>
      </c>
      <c r="D23" s="13" t="s">
        <v>39</v>
      </c>
      <c r="E23" s="13" t="s">
        <v>39</v>
      </c>
      <c r="F23" s="13" t="s">
        <v>39</v>
      </c>
      <c r="G23" s="13" t="s">
        <v>39</v>
      </c>
      <c r="H23" s="13" t="s">
        <v>39</v>
      </c>
      <c r="I23" s="13" t="s">
        <v>39</v>
      </c>
      <c r="J23" s="13" t="s">
        <v>39</v>
      </c>
      <c r="K23" s="13" t="s">
        <v>39</v>
      </c>
      <c r="L23" s="12">
        <v>39</v>
      </c>
      <c r="M23" s="12">
        <v>40</v>
      </c>
      <c r="N23" s="12">
        <v>41</v>
      </c>
      <c r="O23" s="14" t="s">
        <v>40</v>
      </c>
      <c r="P23" s="13" t="s">
        <v>39</v>
      </c>
      <c r="Q23" s="13" t="s">
        <v>39</v>
      </c>
      <c r="R23" s="13" t="s">
        <v>39</v>
      </c>
      <c r="S23" s="14" t="s">
        <v>40</v>
      </c>
      <c r="T23" s="13" t="s">
        <v>39</v>
      </c>
      <c r="U23" s="13" t="s">
        <v>39</v>
      </c>
      <c r="V23" s="13" t="s">
        <v>39</v>
      </c>
      <c r="W23" s="13" t="s">
        <v>39</v>
      </c>
      <c r="X23" s="13" t="s">
        <v>39</v>
      </c>
      <c r="Y23" s="13" t="s">
        <v>39</v>
      </c>
      <c r="Z23" s="13" t="s">
        <v>39</v>
      </c>
      <c r="AA23" s="13" t="s">
        <v>39</v>
      </c>
      <c r="AB23" s="13" t="s">
        <v>39</v>
      </c>
      <c r="AC23" s="13" t="s">
        <v>39</v>
      </c>
      <c r="AD23" s="13" t="s">
        <v>39</v>
      </c>
      <c r="AE23" s="13" t="s">
        <v>39</v>
      </c>
      <c r="AF23" s="14" t="s">
        <v>40</v>
      </c>
      <c r="AH23" s="15">
        <f t="shared" si="0"/>
        <v>3</v>
      </c>
      <c r="AI23" s="15">
        <f t="shared" si="1"/>
        <v>3</v>
      </c>
      <c r="AJ23" s="15">
        <f t="shared" si="2"/>
        <v>25</v>
      </c>
      <c r="AK23" s="15">
        <f t="shared" si="3"/>
        <v>31</v>
      </c>
    </row>
    <row r="24" spans="1:37" x14ac:dyDescent="0.3">
      <c r="A24" s="11" t="s">
        <v>59</v>
      </c>
      <c r="B24" s="13" t="s">
        <v>39</v>
      </c>
      <c r="C24" s="13" t="s">
        <v>39</v>
      </c>
      <c r="D24" s="13" t="s">
        <v>39</v>
      </c>
      <c r="E24" s="13" t="s">
        <v>39</v>
      </c>
      <c r="F24" s="13" t="s">
        <v>39</v>
      </c>
      <c r="G24" s="13" t="s">
        <v>39</v>
      </c>
      <c r="H24" s="13" t="s">
        <v>39</v>
      </c>
      <c r="I24" s="13" t="s">
        <v>39</v>
      </c>
      <c r="J24" s="13" t="s">
        <v>39</v>
      </c>
      <c r="K24" s="13" t="s">
        <v>39</v>
      </c>
      <c r="L24" s="13" t="s">
        <v>39</v>
      </c>
      <c r="M24" s="13" t="s">
        <v>39</v>
      </c>
      <c r="N24" s="13" t="s">
        <v>39</v>
      </c>
      <c r="O24" s="12">
        <v>43</v>
      </c>
      <c r="P24" s="13" t="s">
        <v>39</v>
      </c>
      <c r="Q24" s="13" t="s">
        <v>39</v>
      </c>
      <c r="R24" s="13" t="s">
        <v>39</v>
      </c>
      <c r="S24" s="12">
        <v>43</v>
      </c>
      <c r="T24" s="12">
        <v>42</v>
      </c>
      <c r="U24" s="12">
        <v>43</v>
      </c>
      <c r="V24" s="12">
        <v>43</v>
      </c>
      <c r="W24" s="12">
        <v>43</v>
      </c>
      <c r="X24" s="12">
        <v>43</v>
      </c>
      <c r="Y24" s="12">
        <v>43</v>
      </c>
      <c r="Z24" s="12">
        <v>43</v>
      </c>
      <c r="AA24" s="12">
        <v>43</v>
      </c>
      <c r="AB24" s="12">
        <v>43</v>
      </c>
      <c r="AC24" s="12">
        <v>43</v>
      </c>
      <c r="AD24" s="12">
        <v>43</v>
      </c>
      <c r="AE24" s="12">
        <v>43</v>
      </c>
      <c r="AF24" s="14" t="s">
        <v>40</v>
      </c>
      <c r="AH24" s="15">
        <f t="shared" si="0"/>
        <v>14</v>
      </c>
      <c r="AI24" s="15">
        <f t="shared" si="1"/>
        <v>1</v>
      </c>
      <c r="AJ24" s="15">
        <f t="shared" si="2"/>
        <v>16</v>
      </c>
      <c r="AK24" s="15">
        <f t="shared" si="3"/>
        <v>31</v>
      </c>
    </row>
    <row r="25" spans="1:37" x14ac:dyDescent="0.3">
      <c r="A25" s="11" t="s">
        <v>60</v>
      </c>
      <c r="B25" s="13" t="s">
        <v>39</v>
      </c>
      <c r="C25" s="13" t="s">
        <v>39</v>
      </c>
      <c r="D25" s="13" t="s">
        <v>39</v>
      </c>
      <c r="E25" s="13" t="s">
        <v>39</v>
      </c>
      <c r="F25" s="13" t="s">
        <v>39</v>
      </c>
      <c r="G25" s="13" t="s">
        <v>39</v>
      </c>
      <c r="H25" s="13" t="s">
        <v>39</v>
      </c>
      <c r="I25" s="13" t="s">
        <v>39</v>
      </c>
      <c r="J25" s="13" t="s">
        <v>39</v>
      </c>
      <c r="K25" s="13" t="s">
        <v>39</v>
      </c>
      <c r="L25" s="13" t="s">
        <v>39</v>
      </c>
      <c r="M25" s="13" t="s">
        <v>39</v>
      </c>
      <c r="N25" s="13" t="s">
        <v>39</v>
      </c>
      <c r="O25" s="12">
        <v>44</v>
      </c>
      <c r="P25" s="13" t="s">
        <v>39</v>
      </c>
      <c r="Q25" s="13" t="s">
        <v>39</v>
      </c>
      <c r="R25" s="13" t="s">
        <v>39</v>
      </c>
      <c r="S25" s="12">
        <v>44</v>
      </c>
      <c r="T25" s="13" t="s">
        <v>39</v>
      </c>
      <c r="U25" s="12">
        <v>44</v>
      </c>
      <c r="V25" s="12">
        <v>44</v>
      </c>
      <c r="W25" s="12">
        <v>44</v>
      </c>
      <c r="X25" s="12">
        <v>44</v>
      </c>
      <c r="Y25" s="12">
        <v>44</v>
      </c>
      <c r="Z25" s="12">
        <v>44</v>
      </c>
      <c r="AA25" s="12">
        <v>44</v>
      </c>
      <c r="AB25" s="12">
        <v>44</v>
      </c>
      <c r="AC25" s="12">
        <v>44</v>
      </c>
      <c r="AD25" s="12">
        <v>44</v>
      </c>
      <c r="AE25" s="12">
        <v>44</v>
      </c>
      <c r="AF25" s="14" t="s">
        <v>40</v>
      </c>
      <c r="AH25" s="15">
        <f t="shared" si="0"/>
        <v>13</v>
      </c>
      <c r="AI25" s="15">
        <f t="shared" si="1"/>
        <v>1</v>
      </c>
      <c r="AJ25" s="15">
        <f t="shared" si="2"/>
        <v>17</v>
      </c>
      <c r="AK25" s="15">
        <f t="shared" si="3"/>
        <v>31</v>
      </c>
    </row>
    <row r="26" spans="1:37" x14ac:dyDescent="0.3">
      <c r="A26" s="11" t="s">
        <v>61</v>
      </c>
      <c r="B26" s="13" t="s">
        <v>39</v>
      </c>
      <c r="C26" s="13" t="s">
        <v>39</v>
      </c>
      <c r="D26" s="13" t="s">
        <v>39</v>
      </c>
      <c r="E26" s="13" t="s">
        <v>39</v>
      </c>
      <c r="F26" s="13" t="s">
        <v>39</v>
      </c>
      <c r="G26" s="13" t="s">
        <v>39</v>
      </c>
      <c r="H26" s="13" t="s">
        <v>39</v>
      </c>
      <c r="I26" s="13" t="s">
        <v>39</v>
      </c>
      <c r="J26" s="13" t="s">
        <v>39</v>
      </c>
      <c r="K26" s="13" t="s">
        <v>39</v>
      </c>
      <c r="L26" s="13" t="s">
        <v>39</v>
      </c>
      <c r="M26" s="13" t="s">
        <v>39</v>
      </c>
      <c r="N26" s="13" t="s">
        <v>39</v>
      </c>
      <c r="O26" s="12">
        <v>46</v>
      </c>
      <c r="P26" s="13" t="s">
        <v>39</v>
      </c>
      <c r="Q26" s="13" t="s">
        <v>39</v>
      </c>
      <c r="R26" s="13" t="s">
        <v>39</v>
      </c>
      <c r="S26" s="12">
        <v>46</v>
      </c>
      <c r="T26" s="13" t="s">
        <v>39</v>
      </c>
      <c r="U26" s="12">
        <v>45</v>
      </c>
      <c r="V26" s="12">
        <v>45</v>
      </c>
      <c r="W26" s="12">
        <v>45</v>
      </c>
      <c r="X26" s="12">
        <v>45</v>
      </c>
      <c r="Y26" s="12">
        <v>45</v>
      </c>
      <c r="Z26" s="12">
        <v>45</v>
      </c>
      <c r="AA26" s="12">
        <v>45</v>
      </c>
      <c r="AB26" s="13" t="s">
        <v>39</v>
      </c>
      <c r="AC26" s="13" t="s">
        <v>39</v>
      </c>
      <c r="AD26" s="13" t="s">
        <v>39</v>
      </c>
      <c r="AE26" s="13" t="s">
        <v>39</v>
      </c>
      <c r="AF26" s="14" t="s">
        <v>40</v>
      </c>
      <c r="AH26" s="15">
        <f t="shared" si="0"/>
        <v>9</v>
      </c>
      <c r="AI26" s="15">
        <f t="shared" si="1"/>
        <v>1</v>
      </c>
      <c r="AJ26" s="15">
        <f t="shared" si="2"/>
        <v>21</v>
      </c>
      <c r="AK26" s="15">
        <f t="shared" si="3"/>
        <v>31</v>
      </c>
    </row>
    <row r="27" spans="1:37" x14ac:dyDescent="0.3">
      <c r="A27" s="11" t="s">
        <v>62</v>
      </c>
      <c r="B27" s="13" t="s">
        <v>39</v>
      </c>
      <c r="C27" s="13" t="s">
        <v>39</v>
      </c>
      <c r="D27" s="13" t="s">
        <v>39</v>
      </c>
      <c r="E27" s="13" t="s">
        <v>39</v>
      </c>
      <c r="F27" s="13" t="s">
        <v>39</v>
      </c>
      <c r="G27" s="13" t="s">
        <v>39</v>
      </c>
      <c r="H27" s="13" t="s">
        <v>39</v>
      </c>
      <c r="I27" s="13" t="s">
        <v>39</v>
      </c>
      <c r="J27" s="13" t="s">
        <v>39</v>
      </c>
      <c r="K27" s="13" t="s">
        <v>39</v>
      </c>
      <c r="L27" s="14" t="s">
        <v>40</v>
      </c>
      <c r="M27" s="14" t="s">
        <v>40</v>
      </c>
      <c r="N27" s="14" t="s">
        <v>40</v>
      </c>
      <c r="O27" s="13" t="s">
        <v>39</v>
      </c>
      <c r="P27" s="13" t="s">
        <v>39</v>
      </c>
      <c r="Q27" s="13" t="s">
        <v>39</v>
      </c>
      <c r="R27" s="13" t="s">
        <v>39</v>
      </c>
      <c r="S27" s="13" t="s">
        <v>39</v>
      </c>
      <c r="T27" s="13" t="s">
        <v>39</v>
      </c>
      <c r="U27" s="12">
        <v>47</v>
      </c>
      <c r="V27" s="12">
        <v>48</v>
      </c>
      <c r="W27" s="12">
        <v>49</v>
      </c>
      <c r="X27" s="12">
        <v>50</v>
      </c>
      <c r="Y27" s="12">
        <v>51</v>
      </c>
      <c r="Z27" s="12">
        <v>52</v>
      </c>
      <c r="AA27" s="12">
        <v>53</v>
      </c>
      <c r="AB27" s="13" t="s">
        <v>39</v>
      </c>
      <c r="AC27" s="13" t="s">
        <v>39</v>
      </c>
      <c r="AD27" s="13" t="s">
        <v>39</v>
      </c>
      <c r="AE27" s="13" t="s">
        <v>39</v>
      </c>
      <c r="AF27" s="14" t="s">
        <v>40</v>
      </c>
      <c r="AH27" s="15">
        <f t="shared" si="0"/>
        <v>7</v>
      </c>
      <c r="AI27" s="15">
        <f t="shared" si="1"/>
        <v>4</v>
      </c>
      <c r="AJ27" s="15">
        <f t="shared" si="2"/>
        <v>20</v>
      </c>
      <c r="AK27" s="15">
        <f t="shared" si="3"/>
        <v>31</v>
      </c>
    </row>
    <row r="28" spans="1:37" x14ac:dyDescent="0.3">
      <c r="A28" s="11" t="s">
        <v>63</v>
      </c>
      <c r="B28" s="13" t="s">
        <v>39</v>
      </c>
      <c r="C28" s="13" t="s">
        <v>39</v>
      </c>
      <c r="D28" s="13" t="s">
        <v>39</v>
      </c>
      <c r="E28" s="13" t="s">
        <v>39</v>
      </c>
      <c r="F28" s="13" t="s">
        <v>39</v>
      </c>
      <c r="G28" s="13" t="s">
        <v>39</v>
      </c>
      <c r="H28" s="13" t="s">
        <v>39</v>
      </c>
      <c r="I28" s="13" t="s">
        <v>39</v>
      </c>
      <c r="J28" s="13" t="s">
        <v>39</v>
      </c>
      <c r="K28" s="13" t="s">
        <v>39</v>
      </c>
      <c r="L28" s="12">
        <v>54</v>
      </c>
      <c r="M28" s="12">
        <v>54</v>
      </c>
      <c r="N28" s="12">
        <v>54</v>
      </c>
      <c r="O28" s="14" t="s">
        <v>40</v>
      </c>
      <c r="P28" s="13" t="s">
        <v>39</v>
      </c>
      <c r="Q28" s="13" t="s">
        <v>39</v>
      </c>
      <c r="R28" s="13" t="s">
        <v>39</v>
      </c>
      <c r="S28" s="14" t="s">
        <v>40</v>
      </c>
      <c r="T28" s="13" t="s">
        <v>39</v>
      </c>
      <c r="U28" s="14" t="s">
        <v>40</v>
      </c>
      <c r="V28" s="14" t="s">
        <v>40</v>
      </c>
      <c r="W28" s="14" t="s">
        <v>40</v>
      </c>
      <c r="X28" s="14" t="s">
        <v>40</v>
      </c>
      <c r="Y28" s="14" t="s">
        <v>40</v>
      </c>
      <c r="Z28" s="14" t="s">
        <v>40</v>
      </c>
      <c r="AA28" s="14" t="s">
        <v>40</v>
      </c>
      <c r="AB28" s="13" t="s">
        <v>39</v>
      </c>
      <c r="AC28" s="13" t="s">
        <v>39</v>
      </c>
      <c r="AD28" s="13" t="s">
        <v>39</v>
      </c>
      <c r="AE28" s="13" t="s">
        <v>39</v>
      </c>
      <c r="AF28" s="14" t="s">
        <v>40</v>
      </c>
      <c r="AH28" s="15">
        <f t="shared" si="0"/>
        <v>3</v>
      </c>
      <c r="AI28" s="15">
        <f t="shared" si="1"/>
        <v>10</v>
      </c>
      <c r="AJ28" s="15">
        <f t="shared" si="2"/>
        <v>18</v>
      </c>
      <c r="AK28" s="15">
        <f t="shared" si="3"/>
        <v>31</v>
      </c>
    </row>
    <row r="29" spans="1:37" x14ac:dyDescent="0.3">
      <c r="A29" s="11" t="s">
        <v>64</v>
      </c>
      <c r="B29" s="13" t="s">
        <v>39</v>
      </c>
      <c r="C29" s="13" t="s">
        <v>39</v>
      </c>
      <c r="D29" s="13" t="s">
        <v>39</v>
      </c>
      <c r="E29" s="13" t="s">
        <v>39</v>
      </c>
      <c r="F29" s="13" t="s">
        <v>39</v>
      </c>
      <c r="G29" s="13" t="s">
        <v>39</v>
      </c>
      <c r="H29" s="13" t="s">
        <v>39</v>
      </c>
      <c r="I29" s="13" t="s">
        <v>39</v>
      </c>
      <c r="J29" s="13" t="s">
        <v>39</v>
      </c>
      <c r="K29" s="13" t="s">
        <v>39</v>
      </c>
      <c r="L29" s="13" t="s">
        <v>39</v>
      </c>
      <c r="M29" s="13" t="s">
        <v>39</v>
      </c>
      <c r="N29" s="13" t="s">
        <v>39</v>
      </c>
      <c r="O29" s="12">
        <v>57</v>
      </c>
      <c r="P29" s="13" t="s">
        <v>39</v>
      </c>
      <c r="Q29" s="13" t="s">
        <v>39</v>
      </c>
      <c r="R29" s="13" t="s">
        <v>39</v>
      </c>
      <c r="S29" s="12">
        <v>57</v>
      </c>
      <c r="T29" s="13" t="s">
        <v>39</v>
      </c>
      <c r="U29" s="12">
        <v>57</v>
      </c>
      <c r="V29" s="12">
        <v>57</v>
      </c>
      <c r="W29" s="12">
        <v>57</v>
      </c>
      <c r="X29" s="12">
        <v>57</v>
      </c>
      <c r="Y29" s="12">
        <v>57</v>
      </c>
      <c r="Z29" s="12">
        <v>57</v>
      </c>
      <c r="AA29" s="12">
        <v>57</v>
      </c>
      <c r="AB29" s="12">
        <v>55</v>
      </c>
      <c r="AC29" s="12">
        <v>56</v>
      </c>
      <c r="AD29" s="13" t="s">
        <v>39</v>
      </c>
      <c r="AE29" s="13" t="s">
        <v>39</v>
      </c>
      <c r="AF29" s="14" t="s">
        <v>40</v>
      </c>
      <c r="AH29" s="15">
        <f t="shared" si="0"/>
        <v>11</v>
      </c>
      <c r="AI29" s="15">
        <f t="shared" si="1"/>
        <v>1</v>
      </c>
      <c r="AJ29" s="15">
        <f t="shared" si="2"/>
        <v>19</v>
      </c>
      <c r="AK29" s="15">
        <f t="shared" si="3"/>
        <v>31</v>
      </c>
    </row>
    <row r="30" spans="1:37" x14ac:dyDescent="0.3">
      <c r="A30" s="11" t="s">
        <v>65</v>
      </c>
      <c r="B30" s="13" t="s">
        <v>39</v>
      </c>
      <c r="C30" s="13" t="s">
        <v>39</v>
      </c>
      <c r="D30" s="13" t="s">
        <v>39</v>
      </c>
      <c r="E30" s="13" t="s">
        <v>39</v>
      </c>
      <c r="F30" s="13" t="s">
        <v>39</v>
      </c>
      <c r="G30" s="13" t="s">
        <v>39</v>
      </c>
      <c r="H30" s="13" t="s">
        <v>39</v>
      </c>
      <c r="I30" s="13" t="s">
        <v>39</v>
      </c>
      <c r="J30" s="13" t="s">
        <v>39</v>
      </c>
      <c r="K30" s="13" t="s">
        <v>39</v>
      </c>
      <c r="L30" s="12">
        <v>58</v>
      </c>
      <c r="M30" s="12">
        <v>58</v>
      </c>
      <c r="N30" s="12">
        <v>58</v>
      </c>
      <c r="O30" s="14" t="s">
        <v>40</v>
      </c>
      <c r="P30" s="13" t="s">
        <v>39</v>
      </c>
      <c r="Q30" s="13" t="s">
        <v>39</v>
      </c>
      <c r="R30" s="13" t="s">
        <v>39</v>
      </c>
      <c r="S30" s="14" t="s">
        <v>40</v>
      </c>
      <c r="T30" s="13" t="s">
        <v>39</v>
      </c>
      <c r="U30" s="14" t="s">
        <v>40</v>
      </c>
      <c r="V30" s="14" t="s">
        <v>40</v>
      </c>
      <c r="W30" s="14" t="s">
        <v>40</v>
      </c>
      <c r="X30" s="14" t="s">
        <v>40</v>
      </c>
      <c r="Y30" s="14" t="s">
        <v>40</v>
      </c>
      <c r="Z30" s="14" t="s">
        <v>40</v>
      </c>
      <c r="AA30" s="14" t="s">
        <v>40</v>
      </c>
      <c r="AB30" s="14" t="s">
        <v>40</v>
      </c>
      <c r="AC30" s="14" t="s">
        <v>40</v>
      </c>
      <c r="AD30" s="13" t="s">
        <v>39</v>
      </c>
      <c r="AE30" s="13" t="s">
        <v>39</v>
      </c>
      <c r="AF30" s="14" t="s">
        <v>40</v>
      </c>
      <c r="AH30" s="15">
        <f t="shared" si="0"/>
        <v>3</v>
      </c>
      <c r="AI30" s="15">
        <f t="shared" si="1"/>
        <v>12</v>
      </c>
      <c r="AJ30" s="15">
        <f t="shared" si="2"/>
        <v>16</v>
      </c>
      <c r="AK30" s="15">
        <f t="shared" si="3"/>
        <v>31</v>
      </c>
    </row>
    <row r="31" spans="1:37" x14ac:dyDescent="0.3">
      <c r="A31" s="11" t="s">
        <v>66</v>
      </c>
      <c r="B31" s="13" t="s">
        <v>39</v>
      </c>
      <c r="C31" s="13" t="s">
        <v>39</v>
      </c>
      <c r="D31" s="13" t="s">
        <v>39</v>
      </c>
      <c r="E31" s="13" t="s">
        <v>39</v>
      </c>
      <c r="F31" s="13" t="s">
        <v>39</v>
      </c>
      <c r="G31" s="13" t="s">
        <v>39</v>
      </c>
      <c r="H31" s="13" t="s">
        <v>39</v>
      </c>
      <c r="I31" s="13" t="s">
        <v>39</v>
      </c>
      <c r="J31" s="13" t="s">
        <v>39</v>
      </c>
      <c r="K31" s="13" t="s">
        <v>39</v>
      </c>
      <c r="L31" s="13" t="s">
        <v>39</v>
      </c>
      <c r="M31" s="13" t="s">
        <v>39</v>
      </c>
      <c r="N31" s="13" t="s">
        <v>39</v>
      </c>
      <c r="O31" s="12">
        <v>61</v>
      </c>
      <c r="P31" s="13" t="s">
        <v>39</v>
      </c>
      <c r="Q31" s="13" t="s">
        <v>39</v>
      </c>
      <c r="R31" s="13" t="s">
        <v>39</v>
      </c>
      <c r="S31" s="12">
        <v>61</v>
      </c>
      <c r="T31" s="13" t="s">
        <v>39</v>
      </c>
      <c r="U31" s="12">
        <v>61</v>
      </c>
      <c r="V31" s="12">
        <v>61</v>
      </c>
      <c r="W31" s="12">
        <v>61</v>
      </c>
      <c r="X31" s="12">
        <v>61</v>
      </c>
      <c r="Y31" s="12">
        <v>61</v>
      </c>
      <c r="Z31" s="12">
        <v>61</v>
      </c>
      <c r="AA31" s="12">
        <v>61</v>
      </c>
      <c r="AB31" s="12">
        <v>61</v>
      </c>
      <c r="AC31" s="12">
        <v>61</v>
      </c>
      <c r="AD31" s="12">
        <v>59</v>
      </c>
      <c r="AE31" s="12">
        <v>60</v>
      </c>
      <c r="AF31" s="14" t="s">
        <v>40</v>
      </c>
      <c r="AH31" s="15">
        <f t="shared" si="0"/>
        <v>13</v>
      </c>
      <c r="AI31" s="15">
        <f t="shared" si="1"/>
        <v>1</v>
      </c>
      <c r="AJ31" s="15">
        <f t="shared" si="2"/>
        <v>17</v>
      </c>
      <c r="AK31" s="15">
        <f t="shared" si="3"/>
        <v>31</v>
      </c>
    </row>
    <row r="32" spans="1:37" x14ac:dyDescent="0.3">
      <c r="A32" s="11" t="s">
        <v>67</v>
      </c>
      <c r="B32" s="13" t="s">
        <v>39</v>
      </c>
      <c r="C32" s="13" t="s">
        <v>39</v>
      </c>
      <c r="D32" s="13" t="s">
        <v>39</v>
      </c>
      <c r="E32" s="13" t="s">
        <v>39</v>
      </c>
      <c r="F32" s="13" t="s">
        <v>39</v>
      </c>
      <c r="G32" s="13" t="s">
        <v>39</v>
      </c>
      <c r="H32" s="13" t="s">
        <v>39</v>
      </c>
      <c r="I32" s="13" t="s">
        <v>39</v>
      </c>
      <c r="J32" s="13" t="s">
        <v>39</v>
      </c>
      <c r="K32" s="13" t="s">
        <v>39</v>
      </c>
      <c r="L32" s="12">
        <v>63</v>
      </c>
      <c r="M32" s="12">
        <v>64</v>
      </c>
      <c r="N32" s="12">
        <v>62</v>
      </c>
      <c r="O32" s="14" t="s">
        <v>40</v>
      </c>
      <c r="P32" s="13" t="s">
        <v>39</v>
      </c>
      <c r="Q32" s="13" t="s">
        <v>39</v>
      </c>
      <c r="R32" s="13" t="s">
        <v>39</v>
      </c>
      <c r="S32" s="14" t="s">
        <v>40</v>
      </c>
      <c r="T32" s="13" t="s">
        <v>39</v>
      </c>
      <c r="U32" s="14" t="s">
        <v>40</v>
      </c>
      <c r="V32" s="14" t="s">
        <v>40</v>
      </c>
      <c r="W32" s="14" t="s">
        <v>40</v>
      </c>
      <c r="X32" s="14" t="s">
        <v>40</v>
      </c>
      <c r="Y32" s="14" t="s">
        <v>40</v>
      </c>
      <c r="Z32" s="14" t="s">
        <v>40</v>
      </c>
      <c r="AA32" s="14" t="s">
        <v>40</v>
      </c>
      <c r="AB32" s="14" t="s">
        <v>40</v>
      </c>
      <c r="AC32" s="14" t="s">
        <v>40</v>
      </c>
      <c r="AD32" s="14" t="s">
        <v>40</v>
      </c>
      <c r="AE32" s="14" t="s">
        <v>40</v>
      </c>
      <c r="AF32" s="14" t="s">
        <v>40</v>
      </c>
      <c r="AH32" s="15">
        <f t="shared" si="0"/>
        <v>3</v>
      </c>
      <c r="AI32" s="15">
        <f t="shared" si="1"/>
        <v>14</v>
      </c>
      <c r="AJ32" s="15">
        <f t="shared" si="2"/>
        <v>14</v>
      </c>
      <c r="AK32" s="15">
        <f t="shared" si="3"/>
        <v>31</v>
      </c>
    </row>
    <row r="33" spans="1:37" x14ac:dyDescent="0.3">
      <c r="AG33" s="16" t="s">
        <v>68</v>
      </c>
      <c r="AH33" s="16">
        <f>SUM(AH5:AH32)</f>
        <v>163</v>
      </c>
      <c r="AI33" s="16">
        <f>SUM(AI5:AI32)</f>
        <v>134</v>
      </c>
      <c r="AJ33" s="16">
        <f>SUM(AJ5:AJ32)</f>
        <v>571</v>
      </c>
      <c r="AK33" s="16">
        <f>SUM(AK5:AK32)</f>
        <v>868</v>
      </c>
    </row>
    <row r="35" spans="1:37" x14ac:dyDescent="0.3">
      <c r="A35" s="17" t="s">
        <v>69</v>
      </c>
    </row>
    <row r="36" spans="1:37" x14ac:dyDescent="0.3">
      <c r="A36" s="4" t="s">
        <v>70</v>
      </c>
      <c r="B36" s="4"/>
      <c r="C36" s="4"/>
      <c r="D36" s="4"/>
      <c r="E36" s="4"/>
      <c r="F36" s="4"/>
      <c r="G36" s="4"/>
      <c r="H36" s="4"/>
      <c r="J36" s="19">
        <f>AI33+AJ33</f>
        <v>705</v>
      </c>
      <c r="K36" s="20">
        <v>705</v>
      </c>
      <c r="L36" s="21" t="str">
        <f>IF(J36=K36,"OK","CHECK")</f>
        <v>OK</v>
      </c>
    </row>
    <row r="37" spans="1:37" x14ac:dyDescent="0.3">
      <c r="A37" s="4" t="s">
        <v>71</v>
      </c>
      <c r="B37" s="4"/>
      <c r="C37" s="4"/>
      <c r="D37" s="4"/>
      <c r="E37" s="4"/>
      <c r="F37" s="4"/>
      <c r="G37" s="4"/>
      <c r="H37" s="4"/>
      <c r="J37" s="19">
        <f>AK33</f>
        <v>868</v>
      </c>
      <c r="K37" s="20">
        <v>868</v>
      </c>
      <c r="L37" s="21" t="str">
        <f>IF(J37=K37,"OK","CHECK")</f>
        <v>OK</v>
      </c>
    </row>
    <row r="38" spans="1:37" x14ac:dyDescent="0.3">
      <c r="A38" s="4" t="s">
        <v>72</v>
      </c>
      <c r="B38" s="4"/>
      <c r="C38" s="4"/>
      <c r="D38" s="4"/>
      <c r="E38" s="4"/>
      <c r="F38" s="4"/>
      <c r="G38" s="4"/>
      <c r="H38" s="4"/>
      <c r="J38" s="19">
        <f>AH33</f>
        <v>163</v>
      </c>
      <c r="K38" s="20">
        <v>163</v>
      </c>
      <c r="L38" s="21" t="str">
        <f>IF(J38=K38,"OK","CHECK")</f>
        <v>OK</v>
      </c>
    </row>
    <row r="39" spans="1:37" ht="27.75" customHeight="1" x14ac:dyDescent="0.3">
      <c r="A39" s="7" t="s">
        <v>73</v>
      </c>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row>
  </sheetData>
  <mergeCells count="5">
    <mergeCell ref="A2:AF2"/>
    <mergeCell ref="A36:H36"/>
    <mergeCell ref="A37:H37"/>
    <mergeCell ref="A38:H38"/>
    <mergeCell ref="A39:AF3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
  <sheetViews>
    <sheetView topLeftCell="A7" zoomScale="57" zoomScaleNormal="57" workbookViewId="0"/>
  </sheetViews>
  <sheetFormatPr defaultColWidth="8.6640625" defaultRowHeight="14.4" x14ac:dyDescent="0.3"/>
  <cols>
    <col min="1" max="1" width="30" customWidth="1"/>
    <col min="2" max="2" width="62" customWidth="1"/>
    <col min="3" max="3" width="52" customWidth="1"/>
    <col min="4" max="5" width="11" customWidth="1"/>
    <col min="6" max="6" width="15" customWidth="1"/>
  </cols>
  <sheetData>
    <row r="1" spans="1:6" ht="17.25" customHeight="1" x14ac:dyDescent="0.3">
      <c r="A1" s="8" t="s">
        <v>74</v>
      </c>
    </row>
    <row r="2" spans="1:6" ht="27.75" customHeight="1" x14ac:dyDescent="0.3">
      <c r="A2" s="7" t="s">
        <v>75</v>
      </c>
      <c r="B2" s="7"/>
      <c r="C2" s="7"/>
      <c r="D2" s="7"/>
      <c r="E2" s="7"/>
      <c r="F2" s="7"/>
    </row>
    <row r="4" spans="1:6" x14ac:dyDescent="0.3">
      <c r="A4" s="17" t="s">
        <v>76</v>
      </c>
    </row>
    <row r="5" spans="1:6" x14ac:dyDescent="0.3">
      <c r="A5" s="9" t="s">
        <v>77</v>
      </c>
      <c r="B5" s="9" t="s">
        <v>78</v>
      </c>
      <c r="C5" s="9" t="s">
        <v>79</v>
      </c>
      <c r="D5" s="6" t="s">
        <v>80</v>
      </c>
      <c r="E5" s="6"/>
      <c r="F5" s="6"/>
    </row>
    <row r="6" spans="1:6" ht="30" customHeight="1" x14ac:dyDescent="0.3">
      <c r="A6" s="22" t="s">
        <v>81</v>
      </c>
      <c r="B6" s="23" t="s">
        <v>82</v>
      </c>
      <c r="C6" s="22" t="s">
        <v>83</v>
      </c>
      <c r="D6" s="5" t="s">
        <v>84</v>
      </c>
      <c r="E6" s="5"/>
      <c r="F6" s="5"/>
    </row>
    <row r="7" spans="1:6" ht="30" customHeight="1" x14ac:dyDescent="0.3">
      <c r="A7" s="22" t="s">
        <v>85</v>
      </c>
      <c r="B7" s="24" t="s">
        <v>40</v>
      </c>
      <c r="C7" s="22" t="s">
        <v>86</v>
      </c>
      <c r="D7" s="5" t="s">
        <v>87</v>
      </c>
      <c r="E7" s="5"/>
      <c r="F7" s="5"/>
    </row>
    <row r="8" spans="1:6" ht="30" customHeight="1" x14ac:dyDescent="0.3">
      <c r="A8" s="22" t="s">
        <v>88</v>
      </c>
      <c r="B8" s="25" t="s">
        <v>39</v>
      </c>
      <c r="C8" s="22" t="s">
        <v>89</v>
      </c>
      <c r="D8" s="5" t="s">
        <v>90</v>
      </c>
      <c r="E8" s="5"/>
      <c r="F8" s="5"/>
    </row>
    <row r="9" spans="1:6" ht="30" customHeight="1" x14ac:dyDescent="0.3">
      <c r="A9" s="22" t="s">
        <v>91</v>
      </c>
      <c r="B9" s="25" t="s">
        <v>30</v>
      </c>
      <c r="C9" s="22" t="s">
        <v>92</v>
      </c>
      <c r="D9" s="5" t="s">
        <v>30</v>
      </c>
      <c r="E9" s="5"/>
      <c r="F9" s="5"/>
    </row>
    <row r="10" spans="1:6" ht="30" customHeight="1" x14ac:dyDescent="0.3">
      <c r="A10" s="22" t="s">
        <v>93</v>
      </c>
      <c r="B10" s="25" t="s">
        <v>30</v>
      </c>
      <c r="C10" s="22" t="s">
        <v>94</v>
      </c>
      <c r="D10" s="5" t="s">
        <v>95</v>
      </c>
      <c r="E10" s="5"/>
      <c r="F10" s="5"/>
    </row>
    <row r="11" spans="1:6" ht="30" customHeight="1" x14ac:dyDescent="0.3">
      <c r="A11" s="22" t="s">
        <v>96</v>
      </c>
      <c r="B11" s="25" t="s">
        <v>30</v>
      </c>
      <c r="C11" s="22" t="s">
        <v>97</v>
      </c>
      <c r="D11" s="5" t="s">
        <v>98</v>
      </c>
      <c r="E11" s="5"/>
      <c r="F11" s="5"/>
    </row>
    <row r="12" spans="1:6" ht="30" customHeight="1" x14ac:dyDescent="0.3">
      <c r="A12" s="22" t="s">
        <v>99</v>
      </c>
      <c r="B12" s="25" t="s">
        <v>30</v>
      </c>
      <c r="C12" s="22" t="s">
        <v>100</v>
      </c>
      <c r="D12" s="5" t="s">
        <v>101</v>
      </c>
      <c r="E12" s="5"/>
      <c r="F12" s="5"/>
    </row>
    <row r="15" spans="1:6" x14ac:dyDescent="0.3">
      <c r="A15" s="17" t="s">
        <v>102</v>
      </c>
    </row>
    <row r="16" spans="1:6" ht="30" customHeight="1" x14ac:dyDescent="0.3">
      <c r="A16" s="10" t="s">
        <v>103</v>
      </c>
      <c r="B16" s="10" t="s">
        <v>104</v>
      </c>
      <c r="C16" s="10" t="s">
        <v>105</v>
      </c>
      <c r="D16" s="10" t="s">
        <v>35</v>
      </c>
      <c r="E16" s="10" t="s">
        <v>36</v>
      </c>
      <c r="F16" s="10" t="s">
        <v>106</v>
      </c>
    </row>
    <row r="17" spans="1:6" ht="15" customHeight="1" x14ac:dyDescent="0.3">
      <c r="A17" s="11" t="s">
        <v>38</v>
      </c>
      <c r="B17" s="26" t="s">
        <v>33</v>
      </c>
      <c r="C17" s="22" t="s">
        <v>107</v>
      </c>
      <c r="D17" s="15">
        <f>COUNTIF('Parse Table'!$B$5:$AF$5,"Pop")</f>
        <v>1</v>
      </c>
      <c r="E17" s="15">
        <f>COUNTIF('Parse Table'!$B$5:$AF$5,"Scan")</f>
        <v>25</v>
      </c>
      <c r="F17" s="15">
        <f>COUNT('Parse Table'!$B$5:$AF$5)</f>
        <v>5</v>
      </c>
    </row>
    <row r="18" spans="1:6" ht="15" customHeight="1" x14ac:dyDescent="0.3">
      <c r="A18" s="11" t="s">
        <v>41</v>
      </c>
      <c r="B18" s="26" t="s">
        <v>33</v>
      </c>
      <c r="C18" s="22" t="s">
        <v>108</v>
      </c>
      <c r="D18" s="15">
        <f>COUNTIF('Parse Table'!$B$6:$AF$6,"Pop")</f>
        <v>1</v>
      </c>
      <c r="E18" s="15">
        <f>COUNTIF('Parse Table'!$B$6:$AF$6,"Scan")</f>
        <v>28</v>
      </c>
      <c r="F18" s="15">
        <f>COUNT('Parse Table'!$B$6:$AF$6)</f>
        <v>2</v>
      </c>
    </row>
    <row r="19" spans="1:6" ht="15" customHeight="1" x14ac:dyDescent="0.3">
      <c r="A19" s="11" t="s">
        <v>42</v>
      </c>
      <c r="B19" s="26" t="s">
        <v>33</v>
      </c>
      <c r="C19" s="22" t="s">
        <v>109</v>
      </c>
      <c r="D19" s="15">
        <f>COUNTIF('Parse Table'!$B$7:$AF$7,"Pop")</f>
        <v>1</v>
      </c>
      <c r="E19" s="15">
        <f>COUNTIF('Parse Table'!$B$7:$AF$7,"Scan")</f>
        <v>29</v>
      </c>
      <c r="F19" s="15">
        <f>COUNT('Parse Table'!$B$7:$AF$7)</f>
        <v>1</v>
      </c>
    </row>
    <row r="20" spans="1:6" ht="15" customHeight="1" x14ac:dyDescent="0.3">
      <c r="A20" s="11" t="s">
        <v>43</v>
      </c>
      <c r="B20" s="26" t="s">
        <v>110</v>
      </c>
      <c r="C20" s="22" t="s">
        <v>107</v>
      </c>
      <c r="D20" s="15">
        <f>COUNTIF('Parse Table'!$B$8:$AF$8,"Pop")</f>
        <v>2</v>
      </c>
      <c r="E20" s="15">
        <f>COUNTIF('Parse Table'!$B$8:$AF$8,"Scan")</f>
        <v>24</v>
      </c>
      <c r="F20" s="15">
        <f>COUNT('Parse Table'!$B$8:$AF$8)</f>
        <v>5</v>
      </c>
    </row>
    <row r="21" spans="1:6" ht="15" customHeight="1" x14ac:dyDescent="0.3">
      <c r="A21" s="11" t="s">
        <v>44</v>
      </c>
      <c r="B21" s="26" t="s">
        <v>33</v>
      </c>
      <c r="C21" s="22" t="s">
        <v>111</v>
      </c>
      <c r="D21" s="15">
        <f>COUNTIF('Parse Table'!$B$9:$AF$9,"Pop")</f>
        <v>1</v>
      </c>
      <c r="E21" s="15">
        <f>COUNTIF('Parse Table'!$B$9:$AF$9,"Scan")</f>
        <v>28</v>
      </c>
      <c r="F21" s="15">
        <f>COUNT('Parse Table'!$B$9:$AF$9)</f>
        <v>2</v>
      </c>
    </row>
    <row r="22" spans="1:6" ht="15" customHeight="1" x14ac:dyDescent="0.3">
      <c r="A22" s="11" t="s">
        <v>45</v>
      </c>
      <c r="B22" s="26" t="s">
        <v>112</v>
      </c>
      <c r="C22" s="22" t="s">
        <v>107</v>
      </c>
      <c r="D22" s="15">
        <f>COUNTIF('Parse Table'!$B$10:$AF$10,"Pop")</f>
        <v>3</v>
      </c>
      <c r="E22" s="15">
        <f>COUNTIF('Parse Table'!$B$10:$AF$10,"Scan")</f>
        <v>23</v>
      </c>
      <c r="F22" s="15">
        <f>COUNT('Parse Table'!$B$10:$AF$10)</f>
        <v>5</v>
      </c>
    </row>
    <row r="23" spans="1:6" ht="15" customHeight="1" x14ac:dyDescent="0.3">
      <c r="A23" s="11" t="s">
        <v>46</v>
      </c>
      <c r="B23" s="26" t="s">
        <v>113</v>
      </c>
      <c r="C23" s="22" t="s">
        <v>107</v>
      </c>
      <c r="D23" s="15">
        <f>COUNTIF('Parse Table'!$B$11:$AF$11,"Pop")</f>
        <v>10</v>
      </c>
      <c r="E23" s="15">
        <f>COUNTIF('Parse Table'!$B$11:$AF$11,"Scan")</f>
        <v>16</v>
      </c>
      <c r="F23" s="15">
        <f>COUNT('Parse Table'!$B$11:$AF$11)</f>
        <v>5</v>
      </c>
    </row>
    <row r="24" spans="1:6" ht="15" customHeight="1" x14ac:dyDescent="0.3">
      <c r="A24" s="11" t="s">
        <v>47</v>
      </c>
      <c r="B24" s="26" t="s">
        <v>114</v>
      </c>
      <c r="C24" s="22" t="s">
        <v>109</v>
      </c>
      <c r="D24" s="15">
        <f>COUNTIF('Parse Table'!$B$12:$AF$12,"Pop")</f>
        <v>2</v>
      </c>
      <c r="E24" s="15">
        <f>COUNTIF('Parse Table'!$B$12:$AF$12,"Scan")</f>
        <v>28</v>
      </c>
      <c r="F24" s="15">
        <f>COUNT('Parse Table'!$B$12:$AF$12)</f>
        <v>1</v>
      </c>
    </row>
    <row r="25" spans="1:6" ht="15" customHeight="1" x14ac:dyDescent="0.3">
      <c r="A25" s="11" t="s">
        <v>48</v>
      </c>
      <c r="B25" s="26" t="s">
        <v>33</v>
      </c>
      <c r="C25" s="22" t="s">
        <v>111</v>
      </c>
      <c r="D25" s="15">
        <f>COUNTIF('Parse Table'!$B$13:$AF$13,"Pop")</f>
        <v>1</v>
      </c>
      <c r="E25" s="15">
        <f>COUNTIF('Parse Table'!$B$13:$AF$13,"Scan")</f>
        <v>28</v>
      </c>
      <c r="F25" s="15">
        <f>COUNT('Parse Table'!$B$13:$AF$13)</f>
        <v>2</v>
      </c>
    </row>
    <row r="26" spans="1:6" ht="15" customHeight="1" x14ac:dyDescent="0.3">
      <c r="A26" s="11" t="s">
        <v>49</v>
      </c>
      <c r="B26" s="26" t="s">
        <v>115</v>
      </c>
      <c r="C26" s="22" t="s">
        <v>107</v>
      </c>
      <c r="D26" s="15">
        <f>COUNTIF('Parse Table'!$B$14:$AF$14,"Pop")</f>
        <v>2</v>
      </c>
      <c r="E26" s="15">
        <f>COUNTIF('Parse Table'!$B$14:$AF$14,"Scan")</f>
        <v>24</v>
      </c>
      <c r="F26" s="15">
        <f>COUNT('Parse Table'!$B$14:$AF$14)</f>
        <v>5</v>
      </c>
    </row>
    <row r="27" spans="1:6" ht="27.75" customHeight="1" x14ac:dyDescent="0.3">
      <c r="A27" s="11" t="s">
        <v>50</v>
      </c>
      <c r="B27" s="26" t="s">
        <v>116</v>
      </c>
      <c r="C27" s="22" t="s">
        <v>117</v>
      </c>
      <c r="D27" s="15">
        <f>COUNTIF('Parse Table'!$B$15:$AF$15,"Pop")</f>
        <v>2</v>
      </c>
      <c r="E27" s="15">
        <f>COUNTIF('Parse Table'!$B$15:$AF$15,"Scan")</f>
        <v>16</v>
      </c>
      <c r="F27" s="15">
        <f>COUNT('Parse Table'!$B$15:$AF$15)</f>
        <v>13</v>
      </c>
    </row>
    <row r="28" spans="1:6" ht="27.75" customHeight="1" x14ac:dyDescent="0.3">
      <c r="A28" s="11" t="s">
        <v>51</v>
      </c>
      <c r="B28" s="26" t="s">
        <v>118</v>
      </c>
      <c r="C28" s="22" t="s">
        <v>119</v>
      </c>
      <c r="D28" s="15">
        <f>COUNTIF('Parse Table'!$B$16:$AF$16,"Pop")</f>
        <v>14</v>
      </c>
      <c r="E28" s="15">
        <f>COUNTIF('Parse Table'!$B$16:$AF$16,"Scan")</f>
        <v>16</v>
      </c>
      <c r="F28" s="15">
        <f>COUNT('Parse Table'!$B$16:$AF$16)</f>
        <v>1</v>
      </c>
    </row>
    <row r="29" spans="1:6" ht="15" customHeight="1" x14ac:dyDescent="0.3">
      <c r="A29" s="11" t="s">
        <v>52</v>
      </c>
      <c r="B29" s="26" t="s">
        <v>33</v>
      </c>
      <c r="C29" s="22" t="s">
        <v>120</v>
      </c>
      <c r="D29" s="15">
        <f>COUNTIF('Parse Table'!$B$17:$AF$17,"Pop")</f>
        <v>1</v>
      </c>
      <c r="E29" s="15">
        <f>COUNTIF('Parse Table'!$B$17:$AF$17,"Scan")</f>
        <v>25</v>
      </c>
      <c r="F29" s="15">
        <f>COUNT('Parse Table'!$B$17:$AF$17)</f>
        <v>5</v>
      </c>
    </row>
    <row r="30" spans="1:6" ht="27.75" customHeight="1" x14ac:dyDescent="0.3">
      <c r="A30" s="11" t="s">
        <v>53</v>
      </c>
      <c r="B30" s="26" t="s">
        <v>121</v>
      </c>
      <c r="C30" s="22" t="s">
        <v>122</v>
      </c>
      <c r="D30" s="15">
        <f>COUNTIF('Parse Table'!$B$18:$AF$18,"Pop")</f>
        <v>14</v>
      </c>
      <c r="E30" s="15">
        <f>COUNTIF('Parse Table'!$B$18:$AF$18,"Scan")</f>
        <v>16</v>
      </c>
      <c r="F30" s="15">
        <f>COUNT('Parse Table'!$B$18:$AF$18)</f>
        <v>1</v>
      </c>
    </row>
    <row r="31" spans="1:6" ht="27.75" customHeight="1" x14ac:dyDescent="0.3">
      <c r="A31" s="11" t="s">
        <v>54</v>
      </c>
      <c r="B31" s="26" t="s">
        <v>123</v>
      </c>
      <c r="C31" s="22" t="s">
        <v>124</v>
      </c>
      <c r="D31" s="15">
        <f>COUNTIF('Parse Table'!$B$19:$AF$19,"Pop")</f>
        <v>14</v>
      </c>
      <c r="E31" s="15">
        <f>COUNTIF('Parse Table'!$B$19:$AF$19,"Scan")</f>
        <v>16</v>
      </c>
      <c r="F31" s="15">
        <f>COUNT('Parse Table'!$B$19:$AF$19)</f>
        <v>1</v>
      </c>
    </row>
    <row r="32" spans="1:6" ht="15" customHeight="1" x14ac:dyDescent="0.3">
      <c r="A32" s="11" t="s">
        <v>55</v>
      </c>
      <c r="B32" s="26" t="s">
        <v>33</v>
      </c>
      <c r="C32" s="22" t="s">
        <v>125</v>
      </c>
      <c r="D32" s="15">
        <f>COUNTIF('Parse Table'!$B$20:$AF$20,"Pop")</f>
        <v>1</v>
      </c>
      <c r="E32" s="15">
        <f>COUNTIF('Parse Table'!$B$20:$AF$20,"Scan")</f>
        <v>15</v>
      </c>
      <c r="F32" s="15">
        <f>COUNT('Parse Table'!$B$20:$AF$20)</f>
        <v>15</v>
      </c>
    </row>
    <row r="33" spans="1:6" ht="27.75" customHeight="1" x14ac:dyDescent="0.3">
      <c r="A33" s="11" t="s">
        <v>56</v>
      </c>
      <c r="B33" s="26" t="s">
        <v>126</v>
      </c>
      <c r="C33" s="22" t="s">
        <v>127</v>
      </c>
      <c r="D33" s="15">
        <f>COUNTIF('Parse Table'!$B$21:$AF$21,"Pop")</f>
        <v>15</v>
      </c>
      <c r="E33" s="15">
        <f>COUNTIF('Parse Table'!$B$21:$AF$21,"Scan")</f>
        <v>15</v>
      </c>
      <c r="F33" s="15">
        <f>COUNT('Parse Table'!$B$21:$AF$21)</f>
        <v>1</v>
      </c>
    </row>
    <row r="34" spans="1:6" ht="27.75" customHeight="1" x14ac:dyDescent="0.3">
      <c r="A34" s="11" t="s">
        <v>57</v>
      </c>
      <c r="B34" s="26" t="s">
        <v>33</v>
      </c>
      <c r="C34" s="22" t="s">
        <v>128</v>
      </c>
      <c r="D34" s="15">
        <f>COUNTIF('Parse Table'!$B$22:$AF$22,"Pop")</f>
        <v>1</v>
      </c>
      <c r="E34" s="15">
        <f>COUNTIF('Parse Table'!$B$22:$AF$22,"Scan")</f>
        <v>16</v>
      </c>
      <c r="F34" s="15">
        <f>COUNT('Parse Table'!$B$22:$AF$22)</f>
        <v>14</v>
      </c>
    </row>
    <row r="35" spans="1:6" ht="15" customHeight="1" x14ac:dyDescent="0.3">
      <c r="A35" s="11" t="s">
        <v>58</v>
      </c>
      <c r="B35" s="26" t="s">
        <v>129</v>
      </c>
      <c r="C35" s="22" t="s">
        <v>130</v>
      </c>
      <c r="D35" s="15">
        <f>COUNTIF('Parse Table'!$B$23:$AF$23,"Pop")</f>
        <v>3</v>
      </c>
      <c r="E35" s="15">
        <f>COUNTIF('Parse Table'!$B$23:$AF$23,"Scan")</f>
        <v>25</v>
      </c>
      <c r="F35" s="15">
        <f>COUNT('Parse Table'!$B$23:$AF$23)</f>
        <v>3</v>
      </c>
    </row>
    <row r="36" spans="1:6" ht="15" customHeight="1" x14ac:dyDescent="0.3">
      <c r="A36" s="11" t="s">
        <v>59</v>
      </c>
      <c r="B36" s="26" t="s">
        <v>33</v>
      </c>
      <c r="C36" s="22" t="s">
        <v>131</v>
      </c>
      <c r="D36" s="15">
        <f>COUNTIF('Parse Table'!$B$24:$AF$24,"Pop")</f>
        <v>1</v>
      </c>
      <c r="E36" s="15">
        <f>COUNTIF('Parse Table'!$B$24:$AF$24,"Scan")</f>
        <v>16</v>
      </c>
      <c r="F36" s="15">
        <f>COUNT('Parse Table'!$B$24:$AF$24)</f>
        <v>14</v>
      </c>
    </row>
    <row r="37" spans="1:6" ht="15" customHeight="1" x14ac:dyDescent="0.3">
      <c r="A37" s="11" t="s">
        <v>60</v>
      </c>
      <c r="B37" s="26" t="s">
        <v>33</v>
      </c>
      <c r="C37" s="22" t="s">
        <v>132</v>
      </c>
      <c r="D37" s="15">
        <f>COUNTIF('Parse Table'!$B$25:$AF$25,"Pop")</f>
        <v>1</v>
      </c>
      <c r="E37" s="15">
        <f>COUNTIF('Parse Table'!$B$25:$AF$25,"Scan")</f>
        <v>17</v>
      </c>
      <c r="F37" s="15">
        <f>COUNT('Parse Table'!$B$25:$AF$25)</f>
        <v>13</v>
      </c>
    </row>
    <row r="38" spans="1:6" ht="15" customHeight="1" x14ac:dyDescent="0.3">
      <c r="A38" s="11" t="s">
        <v>61</v>
      </c>
      <c r="B38" s="26" t="s">
        <v>33</v>
      </c>
      <c r="C38" s="22" t="s">
        <v>133</v>
      </c>
      <c r="D38" s="15">
        <f>COUNTIF('Parse Table'!$B$26:$AF$26,"Pop")</f>
        <v>1</v>
      </c>
      <c r="E38" s="15">
        <f>COUNTIF('Parse Table'!$B$26:$AF$26,"Scan")</f>
        <v>21</v>
      </c>
      <c r="F38" s="15">
        <f>COUNT('Parse Table'!$B$26:$AF$26)</f>
        <v>9</v>
      </c>
    </row>
    <row r="39" spans="1:6" ht="15" customHeight="1" x14ac:dyDescent="0.3">
      <c r="A39" s="11" t="s">
        <v>62</v>
      </c>
      <c r="B39" s="26" t="s">
        <v>134</v>
      </c>
      <c r="C39" s="22" t="s">
        <v>135</v>
      </c>
      <c r="D39" s="15">
        <f>COUNTIF('Parse Table'!$B$27:$AF$27,"Pop")</f>
        <v>4</v>
      </c>
      <c r="E39" s="15">
        <f>COUNTIF('Parse Table'!$B$27:$AF$27,"Scan")</f>
        <v>20</v>
      </c>
      <c r="F39" s="15">
        <f>COUNT('Parse Table'!$B$27:$AF$27)</f>
        <v>7</v>
      </c>
    </row>
    <row r="40" spans="1:6" ht="15" customHeight="1" x14ac:dyDescent="0.3">
      <c r="A40" s="11" t="s">
        <v>63</v>
      </c>
      <c r="B40" s="26" t="s">
        <v>136</v>
      </c>
      <c r="C40" s="22" t="s">
        <v>130</v>
      </c>
      <c r="D40" s="15">
        <f>COUNTIF('Parse Table'!$B$28:$AF$28,"Pop")</f>
        <v>10</v>
      </c>
      <c r="E40" s="15">
        <f>COUNTIF('Parse Table'!$B$28:$AF$28,"Scan")</f>
        <v>18</v>
      </c>
      <c r="F40" s="15">
        <f>COUNT('Parse Table'!$B$28:$AF$28)</f>
        <v>3</v>
      </c>
    </row>
    <row r="41" spans="1:6" ht="15" customHeight="1" x14ac:dyDescent="0.3">
      <c r="A41" s="11" t="s">
        <v>64</v>
      </c>
      <c r="B41" s="26" t="s">
        <v>33</v>
      </c>
      <c r="C41" s="22" t="s">
        <v>137</v>
      </c>
      <c r="D41" s="15">
        <f>COUNTIF('Parse Table'!$B$29:$AF$29,"Pop")</f>
        <v>1</v>
      </c>
      <c r="E41" s="15">
        <f>COUNTIF('Parse Table'!$B$29:$AF$29,"Scan")</f>
        <v>19</v>
      </c>
      <c r="F41" s="15">
        <f>COUNT('Parse Table'!$B$29:$AF$29)</f>
        <v>11</v>
      </c>
    </row>
    <row r="42" spans="1:6" ht="15" customHeight="1" x14ac:dyDescent="0.3">
      <c r="A42" s="11" t="s">
        <v>65</v>
      </c>
      <c r="B42" s="26" t="s">
        <v>138</v>
      </c>
      <c r="C42" s="22" t="s">
        <v>130</v>
      </c>
      <c r="D42" s="15">
        <f>COUNTIF('Parse Table'!$B$30:$AF$30,"Pop")</f>
        <v>12</v>
      </c>
      <c r="E42" s="15">
        <f>COUNTIF('Parse Table'!$B$30:$AF$30,"Scan")</f>
        <v>16</v>
      </c>
      <c r="F42" s="15">
        <f>COUNT('Parse Table'!$B$30:$AF$30)</f>
        <v>3</v>
      </c>
    </row>
    <row r="43" spans="1:6" ht="15" customHeight="1" x14ac:dyDescent="0.3">
      <c r="A43" s="11" t="s">
        <v>66</v>
      </c>
      <c r="B43" s="26" t="s">
        <v>33</v>
      </c>
      <c r="C43" s="22" t="s">
        <v>139</v>
      </c>
      <c r="D43" s="15">
        <f>COUNTIF('Parse Table'!$B$31:$AF$31,"Pop")</f>
        <v>1</v>
      </c>
      <c r="E43" s="15">
        <f>COUNTIF('Parse Table'!$B$31:$AF$31,"Scan")</f>
        <v>17</v>
      </c>
      <c r="F43" s="15">
        <f>COUNT('Parse Table'!$B$31:$AF$31)</f>
        <v>13</v>
      </c>
    </row>
    <row r="44" spans="1:6" ht="15" customHeight="1" x14ac:dyDescent="0.3">
      <c r="A44" s="11" t="s">
        <v>67</v>
      </c>
      <c r="B44" s="26" t="s">
        <v>140</v>
      </c>
      <c r="C44" s="22" t="s">
        <v>130</v>
      </c>
      <c r="D44" s="15">
        <f>COUNTIF('Parse Table'!$B$32:$AF$32,"Pop")</f>
        <v>14</v>
      </c>
      <c r="E44" s="15">
        <f>COUNTIF('Parse Table'!$B$32:$AF$32,"Scan")</f>
        <v>14</v>
      </c>
      <c r="F44" s="15">
        <f>COUNT('Parse Table'!$B$32:$AF$32)</f>
        <v>3</v>
      </c>
    </row>
    <row r="45" spans="1:6" x14ac:dyDescent="0.3">
      <c r="A45" s="16" t="s">
        <v>68</v>
      </c>
      <c r="B45" s="27"/>
      <c r="C45" s="27"/>
      <c r="D45" s="16">
        <f>SUM(D17:D44)</f>
        <v>134</v>
      </c>
      <c r="E45" s="16">
        <f>SUM(E17:E44)</f>
        <v>571</v>
      </c>
      <c r="F45" s="16">
        <f>SUM(F17:F44)</f>
        <v>163</v>
      </c>
    </row>
    <row r="47" spans="1:6" ht="27.75" customHeight="1" x14ac:dyDescent="0.3">
      <c r="A47" s="7" t="s">
        <v>141</v>
      </c>
      <c r="B47" s="7"/>
      <c r="C47" s="7"/>
      <c r="D47" s="7"/>
      <c r="E47" s="7"/>
      <c r="F47" s="7"/>
    </row>
  </sheetData>
  <mergeCells count="10">
    <mergeCell ref="D9:F9"/>
    <mergeCell ref="D10:F10"/>
    <mergeCell ref="D11:F11"/>
    <mergeCell ref="D12:F12"/>
    <mergeCell ref="A47:F47"/>
    <mergeCell ref="A2:F2"/>
    <mergeCell ref="D5:F5"/>
    <mergeCell ref="D6:F6"/>
    <mergeCell ref="D7:F7"/>
    <mergeCell ref="D8:F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2"/>
  <sheetViews>
    <sheetView topLeftCell="A92" zoomScale="67" zoomScaleNormal="67" workbookViewId="0">
      <selection activeCell="B109" sqref="B109"/>
    </sheetView>
  </sheetViews>
  <sheetFormatPr defaultColWidth="8.6640625" defaultRowHeight="14.4" x14ac:dyDescent="0.3"/>
  <cols>
    <col min="1" max="1" width="9" customWidth="1"/>
    <col min="2" max="2" width="52" customWidth="1"/>
    <col min="3" max="3" width="78" customWidth="1"/>
    <col min="4" max="4" width="64" customWidth="1"/>
    <col min="5" max="5" width="42" customWidth="1"/>
  </cols>
  <sheetData>
    <row r="1" spans="1:5" ht="17.399999999999999" x14ac:dyDescent="0.3">
      <c r="A1" s="8" t="s">
        <v>325</v>
      </c>
    </row>
    <row r="2" spans="1:5" ht="30" customHeight="1" x14ac:dyDescent="0.3">
      <c r="A2" s="7" t="s">
        <v>142</v>
      </c>
      <c r="B2" s="7"/>
      <c r="C2" s="7"/>
      <c r="D2" s="7"/>
      <c r="E2" s="7"/>
    </row>
    <row r="4" spans="1:5" ht="15.6" x14ac:dyDescent="0.3">
      <c r="A4" s="28" t="s">
        <v>326</v>
      </c>
    </row>
    <row r="5" spans="1:5" x14ac:dyDescent="0.3">
      <c r="A5" s="29" t="s">
        <v>143</v>
      </c>
    </row>
    <row r="6" spans="1:5" x14ac:dyDescent="0.3">
      <c r="A6" s="18"/>
      <c r="B6" s="18" t="s">
        <v>144</v>
      </c>
    </row>
    <row r="7" spans="1:5" x14ac:dyDescent="0.3">
      <c r="A7" s="18"/>
      <c r="B7" s="18" t="s">
        <v>17</v>
      </c>
    </row>
    <row r="8" spans="1:5" x14ac:dyDescent="0.3">
      <c r="A8" s="18"/>
      <c r="B8" s="18" t="s">
        <v>145</v>
      </c>
    </row>
    <row r="9" spans="1:5" x14ac:dyDescent="0.3">
      <c r="A9" s="18"/>
      <c r="B9" s="18" t="s">
        <v>146</v>
      </c>
    </row>
    <row r="10" spans="1:5" x14ac:dyDescent="0.3">
      <c r="A10" s="18"/>
      <c r="B10" s="18" t="s">
        <v>147</v>
      </c>
    </row>
    <row r="11" spans="1:5" x14ac:dyDescent="0.3">
      <c r="A11" s="18"/>
      <c r="B11" s="18" t="s">
        <v>18</v>
      </c>
    </row>
    <row r="12" spans="1:5" ht="27.75" customHeight="1" x14ac:dyDescent="0.3">
      <c r="A12" s="3" t="s">
        <v>148</v>
      </c>
      <c r="B12" s="3"/>
      <c r="C12" s="2" t="s">
        <v>149</v>
      </c>
      <c r="D12" s="2"/>
      <c r="E12" s="2"/>
    </row>
    <row r="14" spans="1:5" x14ac:dyDescent="0.3">
      <c r="A14" s="9" t="s">
        <v>150</v>
      </c>
      <c r="B14" s="9" t="s">
        <v>151</v>
      </c>
      <c r="C14" s="9" t="s">
        <v>152</v>
      </c>
      <c r="D14" s="9" t="s">
        <v>153</v>
      </c>
      <c r="E14" s="9" t="s">
        <v>154</v>
      </c>
    </row>
    <row r="15" spans="1:5" ht="26.4" x14ac:dyDescent="0.3">
      <c r="A15" s="15">
        <v>1</v>
      </c>
      <c r="B15" s="30" t="s">
        <v>155</v>
      </c>
      <c r="C15" s="30" t="s">
        <v>149</v>
      </c>
      <c r="D15" s="30" t="s">
        <v>156</v>
      </c>
      <c r="E15" s="30"/>
    </row>
    <row r="16" spans="1:5" ht="26.4" x14ac:dyDescent="0.3">
      <c r="A16" s="31">
        <v>2</v>
      </c>
      <c r="B16" s="32" t="s">
        <v>157</v>
      </c>
      <c r="C16" s="32" t="s">
        <v>149</v>
      </c>
      <c r="D16" s="32" t="s">
        <v>158</v>
      </c>
      <c r="E16" s="32"/>
    </row>
    <row r="17" spans="1:5" x14ac:dyDescent="0.3">
      <c r="A17" s="15">
        <v>3</v>
      </c>
      <c r="B17" s="30" t="s">
        <v>159</v>
      </c>
      <c r="C17" s="30" t="s">
        <v>160</v>
      </c>
      <c r="D17" s="30" t="s">
        <v>161</v>
      </c>
      <c r="E17" s="30"/>
    </row>
    <row r="18" spans="1:5" x14ac:dyDescent="0.3">
      <c r="A18" s="15">
        <v>4</v>
      </c>
      <c r="B18" s="30" t="s">
        <v>162</v>
      </c>
      <c r="C18" s="30" t="s">
        <v>160</v>
      </c>
      <c r="D18" s="30" t="s">
        <v>163</v>
      </c>
      <c r="E18" s="30"/>
    </row>
    <row r="19" spans="1:5" x14ac:dyDescent="0.3">
      <c r="A19" s="31">
        <v>5</v>
      </c>
      <c r="B19" s="32" t="s">
        <v>164</v>
      </c>
      <c r="C19" s="32" t="s">
        <v>160</v>
      </c>
      <c r="D19" s="32" t="s">
        <v>165</v>
      </c>
      <c r="E19" s="32"/>
    </row>
    <row r="20" spans="1:5" x14ac:dyDescent="0.3">
      <c r="A20" s="31">
        <v>6</v>
      </c>
      <c r="B20" s="32" t="s">
        <v>166</v>
      </c>
      <c r="C20" s="32" t="s">
        <v>167</v>
      </c>
      <c r="D20" s="32" t="s">
        <v>168</v>
      </c>
      <c r="E20" s="32"/>
    </row>
    <row r="21" spans="1:5" x14ac:dyDescent="0.3">
      <c r="A21" s="15">
        <v>7</v>
      </c>
      <c r="B21" s="30" t="s">
        <v>169</v>
      </c>
      <c r="C21" s="30" t="s">
        <v>170</v>
      </c>
      <c r="D21" s="30" t="s">
        <v>171</v>
      </c>
      <c r="E21" s="30"/>
    </row>
    <row r="22" spans="1:5" x14ac:dyDescent="0.3">
      <c r="A22" s="15">
        <v>8</v>
      </c>
      <c r="B22" s="30" t="s">
        <v>172</v>
      </c>
      <c r="C22" s="30" t="s">
        <v>170</v>
      </c>
      <c r="D22" s="30" t="s">
        <v>173</v>
      </c>
      <c r="E22" s="30"/>
    </row>
    <row r="23" spans="1:5" x14ac:dyDescent="0.3">
      <c r="A23" s="15">
        <v>9</v>
      </c>
      <c r="B23" s="30" t="s">
        <v>174</v>
      </c>
      <c r="C23" s="30" t="s">
        <v>170</v>
      </c>
      <c r="D23" s="30" t="s">
        <v>175</v>
      </c>
      <c r="E23" s="30"/>
    </row>
    <row r="24" spans="1:5" x14ac:dyDescent="0.3">
      <c r="A24" s="31">
        <v>10</v>
      </c>
      <c r="B24" s="32" t="s">
        <v>176</v>
      </c>
      <c r="C24" s="32" t="s">
        <v>170</v>
      </c>
      <c r="D24" s="32" t="s">
        <v>158</v>
      </c>
      <c r="E24" s="32"/>
    </row>
    <row r="25" spans="1:5" x14ac:dyDescent="0.3">
      <c r="A25" s="31">
        <v>11</v>
      </c>
      <c r="B25" s="32" t="s">
        <v>177</v>
      </c>
      <c r="C25" s="32" t="s">
        <v>178</v>
      </c>
      <c r="D25" s="32" t="s">
        <v>165</v>
      </c>
      <c r="E25" s="32"/>
    </row>
    <row r="26" spans="1:5" x14ac:dyDescent="0.3">
      <c r="A26" s="15">
        <v>12</v>
      </c>
      <c r="B26" s="30" t="s">
        <v>179</v>
      </c>
      <c r="C26" s="30" t="s">
        <v>180</v>
      </c>
      <c r="D26" s="30" t="s">
        <v>181</v>
      </c>
      <c r="E26" s="30"/>
    </row>
    <row r="27" spans="1:5" x14ac:dyDescent="0.3">
      <c r="A27" s="31">
        <v>13</v>
      </c>
      <c r="B27" s="32" t="s">
        <v>182</v>
      </c>
      <c r="C27" s="32" t="s">
        <v>180</v>
      </c>
      <c r="D27" s="32" t="s">
        <v>183</v>
      </c>
      <c r="E27" s="32"/>
    </row>
    <row r="28" spans="1:5" x14ac:dyDescent="0.3">
      <c r="A28" s="15">
        <v>14</v>
      </c>
      <c r="B28" s="30" t="s">
        <v>172</v>
      </c>
      <c r="C28" s="30" t="s">
        <v>184</v>
      </c>
      <c r="D28" s="30" t="s">
        <v>185</v>
      </c>
      <c r="E28" s="30"/>
    </row>
    <row r="29" spans="1:5" x14ac:dyDescent="0.3">
      <c r="A29" s="15">
        <v>15</v>
      </c>
      <c r="B29" s="30" t="s">
        <v>174</v>
      </c>
      <c r="C29" s="30" t="s">
        <v>184</v>
      </c>
      <c r="D29" s="30" t="s">
        <v>186</v>
      </c>
      <c r="E29" s="30"/>
    </row>
    <row r="30" spans="1:5" x14ac:dyDescent="0.3">
      <c r="A30" s="31">
        <v>16</v>
      </c>
      <c r="B30" s="32" t="s">
        <v>187</v>
      </c>
      <c r="C30" s="32" t="s">
        <v>184</v>
      </c>
      <c r="D30" s="32" t="s">
        <v>188</v>
      </c>
      <c r="E30" s="32"/>
    </row>
    <row r="31" spans="1:5" x14ac:dyDescent="0.3">
      <c r="A31" s="31">
        <v>17</v>
      </c>
      <c r="B31" s="32" t="s">
        <v>177</v>
      </c>
      <c r="C31" s="32" t="s">
        <v>189</v>
      </c>
      <c r="D31" s="32" t="s">
        <v>165</v>
      </c>
      <c r="E31" s="32"/>
    </row>
    <row r="32" spans="1:5" x14ac:dyDescent="0.3">
      <c r="A32" s="15">
        <v>18</v>
      </c>
      <c r="B32" s="30" t="s">
        <v>179</v>
      </c>
      <c r="C32" s="30" t="s">
        <v>190</v>
      </c>
      <c r="D32" s="30" t="s">
        <v>191</v>
      </c>
      <c r="E32" s="30"/>
    </row>
    <row r="33" spans="1:5" x14ac:dyDescent="0.3">
      <c r="A33" s="31">
        <v>19</v>
      </c>
      <c r="B33" s="32" t="s">
        <v>192</v>
      </c>
      <c r="C33" s="32" t="s">
        <v>190</v>
      </c>
      <c r="D33" s="32" t="s">
        <v>193</v>
      </c>
      <c r="E33" s="32"/>
    </row>
    <row r="34" spans="1:5" x14ac:dyDescent="0.3">
      <c r="A34" s="15">
        <v>20</v>
      </c>
      <c r="B34" s="30" t="s">
        <v>194</v>
      </c>
      <c r="C34" s="30" t="s">
        <v>195</v>
      </c>
      <c r="D34" s="30" t="s">
        <v>196</v>
      </c>
      <c r="E34" s="30"/>
    </row>
    <row r="35" spans="1:5" x14ac:dyDescent="0.3">
      <c r="A35" s="31">
        <v>21</v>
      </c>
      <c r="B35" s="32" t="s">
        <v>197</v>
      </c>
      <c r="C35" s="32" t="s">
        <v>195</v>
      </c>
      <c r="D35" s="32" t="s">
        <v>198</v>
      </c>
      <c r="E35" s="32"/>
    </row>
    <row r="36" spans="1:5" x14ac:dyDescent="0.3">
      <c r="A36" s="15">
        <v>22</v>
      </c>
      <c r="B36" s="30" t="s">
        <v>199</v>
      </c>
      <c r="C36" s="30" t="s">
        <v>200</v>
      </c>
      <c r="D36" s="30" t="s">
        <v>201</v>
      </c>
      <c r="E36" s="30"/>
    </row>
    <row r="37" spans="1:5" x14ac:dyDescent="0.3">
      <c r="A37" s="15">
        <v>23</v>
      </c>
      <c r="B37" s="30" t="s">
        <v>202</v>
      </c>
      <c r="C37" s="30" t="s">
        <v>200</v>
      </c>
      <c r="D37" s="30" t="s">
        <v>203</v>
      </c>
      <c r="E37" s="30"/>
    </row>
    <row r="38" spans="1:5" x14ac:dyDescent="0.3">
      <c r="A38" s="15">
        <v>24</v>
      </c>
      <c r="B38" s="30" t="s">
        <v>204</v>
      </c>
      <c r="C38" s="30" t="s">
        <v>200</v>
      </c>
      <c r="D38" s="30" t="s">
        <v>205</v>
      </c>
      <c r="E38" s="30"/>
    </row>
    <row r="39" spans="1:5" x14ac:dyDescent="0.3">
      <c r="A39" s="15">
        <v>25</v>
      </c>
      <c r="B39" s="30" t="s">
        <v>206</v>
      </c>
      <c r="C39" s="30" t="s">
        <v>200</v>
      </c>
      <c r="D39" s="30" t="s">
        <v>175</v>
      </c>
      <c r="E39" s="30"/>
    </row>
    <row r="40" spans="1:5" x14ac:dyDescent="0.3">
      <c r="A40" s="31">
        <v>26</v>
      </c>
      <c r="B40" s="32" t="s">
        <v>207</v>
      </c>
      <c r="C40" s="32" t="s">
        <v>200</v>
      </c>
      <c r="D40" s="32" t="s">
        <v>158</v>
      </c>
      <c r="E40" s="32"/>
    </row>
    <row r="41" spans="1:5" x14ac:dyDescent="0.3">
      <c r="A41" s="15">
        <v>27</v>
      </c>
      <c r="B41" s="30" t="s">
        <v>208</v>
      </c>
      <c r="C41" s="30" t="s">
        <v>209</v>
      </c>
      <c r="D41" s="30" t="s">
        <v>210</v>
      </c>
      <c r="E41" s="30"/>
    </row>
    <row r="42" spans="1:5" x14ac:dyDescent="0.3">
      <c r="A42" s="31">
        <v>28</v>
      </c>
      <c r="B42" s="32" t="s">
        <v>211</v>
      </c>
      <c r="C42" s="32" t="s">
        <v>209</v>
      </c>
      <c r="D42" s="32" t="s">
        <v>165</v>
      </c>
      <c r="E42" s="32"/>
    </row>
    <row r="43" spans="1:5" x14ac:dyDescent="0.3">
      <c r="A43" s="15">
        <v>29</v>
      </c>
      <c r="B43" s="30" t="s">
        <v>212</v>
      </c>
      <c r="C43" s="30" t="s">
        <v>213</v>
      </c>
      <c r="D43" s="30" t="s">
        <v>214</v>
      </c>
      <c r="E43" s="30"/>
    </row>
    <row r="44" spans="1:5" x14ac:dyDescent="0.3">
      <c r="A44" s="31">
        <v>30</v>
      </c>
      <c r="B44" s="32" t="s">
        <v>215</v>
      </c>
      <c r="C44" s="32" t="s">
        <v>213</v>
      </c>
      <c r="D44" s="32" t="s">
        <v>183</v>
      </c>
      <c r="E44" s="32"/>
    </row>
    <row r="45" spans="1:5" x14ac:dyDescent="0.3">
      <c r="A45" s="15">
        <v>31</v>
      </c>
      <c r="B45" s="30" t="s">
        <v>208</v>
      </c>
      <c r="C45" s="30" t="s">
        <v>216</v>
      </c>
      <c r="D45" s="30" t="s">
        <v>210</v>
      </c>
      <c r="E45" s="30"/>
    </row>
    <row r="46" spans="1:5" x14ac:dyDescent="0.3">
      <c r="A46" s="31">
        <v>32</v>
      </c>
      <c r="B46" s="32" t="s">
        <v>211</v>
      </c>
      <c r="C46" s="32" t="s">
        <v>216</v>
      </c>
      <c r="D46" s="32" t="s">
        <v>165</v>
      </c>
      <c r="E46" s="32"/>
    </row>
    <row r="47" spans="1:5" x14ac:dyDescent="0.3">
      <c r="A47" s="15">
        <v>33</v>
      </c>
      <c r="B47" s="30" t="s">
        <v>212</v>
      </c>
      <c r="C47" s="30" t="s">
        <v>217</v>
      </c>
      <c r="D47" s="30" t="s">
        <v>218</v>
      </c>
      <c r="E47" s="30"/>
    </row>
    <row r="48" spans="1:5" x14ac:dyDescent="0.3">
      <c r="A48" s="31">
        <v>34</v>
      </c>
      <c r="B48" s="32" t="s">
        <v>219</v>
      </c>
      <c r="C48" s="32" t="s">
        <v>217</v>
      </c>
      <c r="D48" s="32" t="s">
        <v>220</v>
      </c>
      <c r="E48" s="32"/>
    </row>
    <row r="49" spans="1:5" x14ac:dyDescent="0.3">
      <c r="A49" s="15">
        <v>35</v>
      </c>
      <c r="B49" s="30" t="s">
        <v>199</v>
      </c>
      <c r="C49" s="30" t="s">
        <v>221</v>
      </c>
      <c r="D49" s="30" t="s">
        <v>222</v>
      </c>
      <c r="E49" s="30"/>
    </row>
    <row r="50" spans="1:5" x14ac:dyDescent="0.3">
      <c r="A50" s="15">
        <v>36</v>
      </c>
      <c r="B50" s="30" t="s">
        <v>202</v>
      </c>
      <c r="C50" s="30" t="s">
        <v>221</v>
      </c>
      <c r="D50" s="30" t="s">
        <v>223</v>
      </c>
      <c r="E50" s="30"/>
    </row>
    <row r="51" spans="1:5" x14ac:dyDescent="0.3">
      <c r="A51" s="15">
        <v>37</v>
      </c>
      <c r="B51" s="30" t="s">
        <v>224</v>
      </c>
      <c r="C51" s="30" t="s">
        <v>221</v>
      </c>
      <c r="D51" s="30" t="s">
        <v>225</v>
      </c>
      <c r="E51" s="30"/>
    </row>
    <row r="52" spans="1:5" x14ac:dyDescent="0.3">
      <c r="A52" s="31">
        <v>38</v>
      </c>
      <c r="B52" s="32" t="s">
        <v>226</v>
      </c>
      <c r="C52" s="32" t="s">
        <v>221</v>
      </c>
      <c r="D52" s="32" t="s">
        <v>165</v>
      </c>
      <c r="E52" s="32"/>
    </row>
    <row r="53" spans="1:5" x14ac:dyDescent="0.3">
      <c r="A53" s="15">
        <v>39</v>
      </c>
      <c r="B53" s="30" t="s">
        <v>227</v>
      </c>
      <c r="C53" s="30" t="s">
        <v>228</v>
      </c>
      <c r="D53" s="30" t="s">
        <v>229</v>
      </c>
      <c r="E53" s="30"/>
    </row>
    <row r="54" spans="1:5" x14ac:dyDescent="0.3">
      <c r="A54" s="31">
        <v>40</v>
      </c>
      <c r="B54" s="32" t="s">
        <v>230</v>
      </c>
      <c r="C54" s="32" t="s">
        <v>228</v>
      </c>
      <c r="D54" s="32" t="s">
        <v>231</v>
      </c>
      <c r="E54" s="32"/>
    </row>
    <row r="55" spans="1:5" x14ac:dyDescent="0.3">
      <c r="A55" s="15">
        <v>41</v>
      </c>
      <c r="B55" s="30" t="s">
        <v>224</v>
      </c>
      <c r="C55" s="30" t="s">
        <v>232</v>
      </c>
      <c r="D55" s="30" t="s">
        <v>225</v>
      </c>
      <c r="E55" s="30"/>
    </row>
    <row r="56" spans="1:5" x14ac:dyDescent="0.3">
      <c r="A56" s="31">
        <v>42</v>
      </c>
      <c r="B56" s="32" t="s">
        <v>226</v>
      </c>
      <c r="C56" s="32" t="s">
        <v>232</v>
      </c>
      <c r="D56" s="32" t="s">
        <v>165</v>
      </c>
      <c r="E56" s="32"/>
    </row>
    <row r="57" spans="1:5" x14ac:dyDescent="0.3">
      <c r="A57" s="15">
        <v>43</v>
      </c>
      <c r="B57" s="30" t="s">
        <v>227</v>
      </c>
      <c r="C57" s="30" t="s">
        <v>233</v>
      </c>
      <c r="D57" s="30" t="s">
        <v>234</v>
      </c>
      <c r="E57" s="30"/>
    </row>
    <row r="58" spans="1:5" x14ac:dyDescent="0.3">
      <c r="A58" s="15">
        <v>44</v>
      </c>
      <c r="B58" s="30" t="s">
        <v>235</v>
      </c>
      <c r="C58" s="30" t="s">
        <v>233</v>
      </c>
      <c r="D58" s="30" t="s">
        <v>236</v>
      </c>
      <c r="E58" s="30"/>
    </row>
    <row r="59" spans="1:5" x14ac:dyDescent="0.3">
      <c r="A59" s="15">
        <v>45</v>
      </c>
      <c r="B59" s="30" t="s">
        <v>237</v>
      </c>
      <c r="C59" s="30" t="s">
        <v>233</v>
      </c>
      <c r="D59" s="30" t="s">
        <v>238</v>
      </c>
      <c r="E59" s="30"/>
    </row>
    <row r="60" spans="1:5" x14ac:dyDescent="0.3">
      <c r="A60" s="15">
        <v>46</v>
      </c>
      <c r="B60" s="30" t="s">
        <v>239</v>
      </c>
      <c r="C60" s="30" t="s">
        <v>233</v>
      </c>
      <c r="D60" s="30" t="s">
        <v>240</v>
      </c>
      <c r="E60" s="30"/>
    </row>
    <row r="61" spans="1:5" x14ac:dyDescent="0.3">
      <c r="A61" s="31">
        <v>47</v>
      </c>
      <c r="B61" s="32" t="s">
        <v>241</v>
      </c>
      <c r="C61" s="32" t="s">
        <v>233</v>
      </c>
      <c r="D61" s="32" t="s">
        <v>242</v>
      </c>
      <c r="E61" s="32"/>
    </row>
    <row r="62" spans="1:5" x14ac:dyDescent="0.3">
      <c r="A62" s="15">
        <v>48</v>
      </c>
      <c r="B62" s="30" t="s">
        <v>243</v>
      </c>
      <c r="C62" s="30" t="s">
        <v>244</v>
      </c>
      <c r="D62" s="30" t="s">
        <v>245</v>
      </c>
      <c r="E62" s="30"/>
    </row>
    <row r="63" spans="1:5" x14ac:dyDescent="0.3">
      <c r="A63" s="15">
        <v>49</v>
      </c>
      <c r="B63" s="30" t="s">
        <v>246</v>
      </c>
      <c r="C63" s="30" t="s">
        <v>244</v>
      </c>
      <c r="D63" s="30" t="s">
        <v>247</v>
      </c>
      <c r="E63" s="30"/>
    </row>
    <row r="64" spans="1:5" x14ac:dyDescent="0.3">
      <c r="A64" s="31">
        <v>50</v>
      </c>
      <c r="B64" s="32" t="s">
        <v>248</v>
      </c>
      <c r="C64" s="32" t="s">
        <v>244</v>
      </c>
      <c r="D64" s="32" t="s">
        <v>249</v>
      </c>
      <c r="E64" s="32"/>
    </row>
    <row r="65" spans="1:5" x14ac:dyDescent="0.3">
      <c r="A65" s="15">
        <v>51</v>
      </c>
      <c r="B65" s="30" t="s">
        <v>237</v>
      </c>
      <c r="C65" s="30" t="s">
        <v>250</v>
      </c>
      <c r="D65" s="30" t="s">
        <v>251</v>
      </c>
      <c r="E65" s="30"/>
    </row>
    <row r="66" spans="1:5" x14ac:dyDescent="0.3">
      <c r="A66" s="31">
        <v>52</v>
      </c>
      <c r="B66" s="32" t="s">
        <v>252</v>
      </c>
      <c r="C66" s="32" t="s">
        <v>250</v>
      </c>
      <c r="D66" s="32" t="s">
        <v>253</v>
      </c>
      <c r="E66" s="32"/>
    </row>
    <row r="67" spans="1:5" x14ac:dyDescent="0.3">
      <c r="A67" s="15">
        <v>53</v>
      </c>
      <c r="B67" s="30" t="s">
        <v>246</v>
      </c>
      <c r="C67" s="30" t="s">
        <v>254</v>
      </c>
      <c r="D67" s="30" t="s">
        <v>247</v>
      </c>
      <c r="E67" s="30"/>
    </row>
    <row r="68" spans="1:5" x14ac:dyDescent="0.3">
      <c r="A68" s="31">
        <v>54</v>
      </c>
      <c r="B68" s="32" t="s">
        <v>248</v>
      </c>
      <c r="C68" s="32" t="s">
        <v>254</v>
      </c>
      <c r="D68" s="32" t="s">
        <v>249</v>
      </c>
      <c r="E68" s="32"/>
    </row>
    <row r="69" spans="1:5" x14ac:dyDescent="0.3">
      <c r="A69" s="15">
        <v>55</v>
      </c>
      <c r="B69" s="30" t="s">
        <v>237</v>
      </c>
      <c r="C69" s="30" t="s">
        <v>255</v>
      </c>
      <c r="D69" s="30" t="s">
        <v>256</v>
      </c>
      <c r="E69" s="30"/>
    </row>
    <row r="70" spans="1:5" x14ac:dyDescent="0.3">
      <c r="A70" s="15">
        <v>56</v>
      </c>
      <c r="B70" s="30" t="s">
        <v>239</v>
      </c>
      <c r="C70" s="30" t="s">
        <v>255</v>
      </c>
      <c r="D70" s="30" t="s">
        <v>257</v>
      </c>
      <c r="E70" s="30"/>
    </row>
    <row r="71" spans="1:5" x14ac:dyDescent="0.3">
      <c r="A71" s="15">
        <v>57</v>
      </c>
      <c r="B71" s="30" t="s">
        <v>258</v>
      </c>
      <c r="C71" s="30" t="s">
        <v>255</v>
      </c>
      <c r="D71" s="30" t="s">
        <v>259</v>
      </c>
      <c r="E71" s="30"/>
    </row>
    <row r="72" spans="1:5" x14ac:dyDescent="0.3">
      <c r="A72" s="31">
        <v>58</v>
      </c>
      <c r="B72" s="32" t="s">
        <v>219</v>
      </c>
      <c r="C72" s="32" t="s">
        <v>255</v>
      </c>
      <c r="D72" s="32" t="s">
        <v>220</v>
      </c>
      <c r="E72" s="32"/>
    </row>
    <row r="73" spans="1:5" x14ac:dyDescent="0.3">
      <c r="A73" s="15">
        <v>59</v>
      </c>
      <c r="B73" s="30" t="s">
        <v>199</v>
      </c>
      <c r="C73" s="30" t="s">
        <v>260</v>
      </c>
      <c r="D73" s="30" t="s">
        <v>222</v>
      </c>
      <c r="E73" s="30"/>
    </row>
    <row r="74" spans="1:5" x14ac:dyDescent="0.3">
      <c r="A74" s="15">
        <v>60</v>
      </c>
      <c r="B74" s="30" t="s">
        <v>202</v>
      </c>
      <c r="C74" s="30" t="s">
        <v>260</v>
      </c>
      <c r="D74" s="30" t="s">
        <v>223</v>
      </c>
      <c r="E74" s="30"/>
    </row>
    <row r="75" spans="1:5" x14ac:dyDescent="0.3">
      <c r="A75" s="15">
        <v>61</v>
      </c>
      <c r="B75" s="30" t="s">
        <v>224</v>
      </c>
      <c r="C75" s="30" t="s">
        <v>260</v>
      </c>
      <c r="D75" s="30" t="s">
        <v>225</v>
      </c>
      <c r="E75" s="30"/>
    </row>
    <row r="76" spans="1:5" x14ac:dyDescent="0.3">
      <c r="A76" s="31">
        <v>62</v>
      </c>
      <c r="B76" s="32" t="s">
        <v>226</v>
      </c>
      <c r="C76" s="32" t="s">
        <v>260</v>
      </c>
      <c r="D76" s="32" t="s">
        <v>165</v>
      </c>
      <c r="E76" s="32"/>
    </row>
    <row r="77" spans="1:5" x14ac:dyDescent="0.3">
      <c r="A77" s="15">
        <v>63</v>
      </c>
      <c r="B77" s="30" t="s">
        <v>227</v>
      </c>
      <c r="C77" s="30" t="s">
        <v>261</v>
      </c>
      <c r="D77" s="30" t="s">
        <v>229</v>
      </c>
      <c r="E77" s="30"/>
    </row>
    <row r="78" spans="1:5" x14ac:dyDescent="0.3">
      <c r="A78" s="31">
        <v>64</v>
      </c>
      <c r="B78" s="32" t="s">
        <v>230</v>
      </c>
      <c r="C78" s="32" t="s">
        <v>261</v>
      </c>
      <c r="D78" s="32" t="s">
        <v>231</v>
      </c>
      <c r="E78" s="32"/>
    </row>
    <row r="79" spans="1:5" x14ac:dyDescent="0.3">
      <c r="A79" s="15">
        <v>65</v>
      </c>
      <c r="B79" s="30" t="s">
        <v>224</v>
      </c>
      <c r="C79" s="30" t="s">
        <v>262</v>
      </c>
      <c r="D79" s="30" t="s">
        <v>225</v>
      </c>
      <c r="E79" s="30"/>
    </row>
    <row r="80" spans="1:5" x14ac:dyDescent="0.3">
      <c r="A80" s="31">
        <v>66</v>
      </c>
      <c r="B80" s="32" t="s">
        <v>226</v>
      </c>
      <c r="C80" s="32" t="s">
        <v>262</v>
      </c>
      <c r="D80" s="32" t="s">
        <v>165</v>
      </c>
      <c r="E80" s="32"/>
    </row>
    <row r="81" spans="1:5" x14ac:dyDescent="0.3">
      <c r="A81" s="15">
        <v>67</v>
      </c>
      <c r="B81" s="30" t="s">
        <v>227</v>
      </c>
      <c r="C81" s="30" t="s">
        <v>263</v>
      </c>
      <c r="D81" s="30" t="s">
        <v>264</v>
      </c>
      <c r="E81" s="30"/>
    </row>
    <row r="82" spans="1:5" x14ac:dyDescent="0.3">
      <c r="A82" s="15">
        <v>68</v>
      </c>
      <c r="B82" s="30" t="s">
        <v>235</v>
      </c>
      <c r="C82" s="30" t="s">
        <v>263</v>
      </c>
      <c r="D82" s="30" t="s">
        <v>265</v>
      </c>
      <c r="E82" s="30"/>
    </row>
    <row r="83" spans="1:5" x14ac:dyDescent="0.3">
      <c r="A83" s="15">
        <v>69</v>
      </c>
      <c r="B83" s="30" t="s">
        <v>237</v>
      </c>
      <c r="C83" s="30" t="s">
        <v>263</v>
      </c>
      <c r="D83" s="30" t="s">
        <v>266</v>
      </c>
      <c r="E83" s="30"/>
    </row>
    <row r="84" spans="1:5" x14ac:dyDescent="0.3">
      <c r="A84" s="15">
        <v>70</v>
      </c>
      <c r="B84" s="30" t="s">
        <v>239</v>
      </c>
      <c r="C84" s="30" t="s">
        <v>263</v>
      </c>
      <c r="D84" s="30" t="s">
        <v>267</v>
      </c>
      <c r="E84" s="30"/>
    </row>
    <row r="85" spans="1:5" x14ac:dyDescent="0.3">
      <c r="A85" s="31">
        <v>71</v>
      </c>
      <c r="B85" s="32" t="s">
        <v>268</v>
      </c>
      <c r="C85" s="32" t="s">
        <v>263</v>
      </c>
      <c r="D85" s="32" t="s">
        <v>269</v>
      </c>
      <c r="E85" s="32"/>
    </row>
    <row r="86" spans="1:5" x14ac:dyDescent="0.3">
      <c r="A86" s="15">
        <v>72</v>
      </c>
      <c r="B86" s="30" t="s">
        <v>243</v>
      </c>
      <c r="C86" s="30" t="s">
        <v>270</v>
      </c>
      <c r="D86" s="30" t="s">
        <v>245</v>
      </c>
      <c r="E86" s="30"/>
    </row>
    <row r="87" spans="1:5" x14ac:dyDescent="0.3">
      <c r="A87" s="15">
        <v>73</v>
      </c>
      <c r="B87" s="30" t="s">
        <v>246</v>
      </c>
      <c r="C87" s="30" t="s">
        <v>270</v>
      </c>
      <c r="D87" s="30" t="s">
        <v>247</v>
      </c>
      <c r="E87" s="30"/>
    </row>
    <row r="88" spans="1:5" x14ac:dyDescent="0.3">
      <c r="A88" s="31">
        <v>74</v>
      </c>
      <c r="B88" s="32" t="s">
        <v>248</v>
      </c>
      <c r="C88" s="32" t="s">
        <v>270</v>
      </c>
      <c r="D88" s="32" t="s">
        <v>249</v>
      </c>
      <c r="E88" s="32"/>
    </row>
    <row r="89" spans="1:5" x14ac:dyDescent="0.3">
      <c r="A89" s="15">
        <v>75</v>
      </c>
      <c r="B89" s="30" t="s">
        <v>237</v>
      </c>
      <c r="C89" s="30" t="s">
        <v>271</v>
      </c>
      <c r="D89" s="30" t="s">
        <v>256</v>
      </c>
      <c r="E89" s="30"/>
    </row>
    <row r="90" spans="1:5" x14ac:dyDescent="0.3">
      <c r="A90" s="15">
        <v>76</v>
      </c>
      <c r="B90" s="30" t="s">
        <v>239</v>
      </c>
      <c r="C90" s="30" t="s">
        <v>271</v>
      </c>
      <c r="D90" s="30" t="s">
        <v>257</v>
      </c>
      <c r="E90" s="30"/>
    </row>
    <row r="91" spans="1:5" x14ac:dyDescent="0.3">
      <c r="A91" s="15">
        <v>77</v>
      </c>
      <c r="B91" s="30" t="s">
        <v>258</v>
      </c>
      <c r="C91" s="30" t="s">
        <v>271</v>
      </c>
      <c r="D91" s="30" t="s">
        <v>259</v>
      </c>
      <c r="E91" s="30"/>
    </row>
    <row r="92" spans="1:5" x14ac:dyDescent="0.3">
      <c r="A92" s="31">
        <v>78</v>
      </c>
      <c r="B92" s="32" t="s">
        <v>219</v>
      </c>
      <c r="C92" s="32" t="s">
        <v>271</v>
      </c>
      <c r="D92" s="32" t="s">
        <v>220</v>
      </c>
      <c r="E92" s="32"/>
    </row>
    <row r="93" spans="1:5" x14ac:dyDescent="0.3">
      <c r="A93" s="15">
        <v>79</v>
      </c>
      <c r="B93" s="30" t="s">
        <v>199</v>
      </c>
      <c r="C93" s="30" t="s">
        <v>272</v>
      </c>
      <c r="D93" s="30" t="s">
        <v>273</v>
      </c>
      <c r="E93" s="30"/>
    </row>
    <row r="94" spans="1:5" x14ac:dyDescent="0.3">
      <c r="A94" s="31">
        <v>80</v>
      </c>
      <c r="B94" s="32" t="s">
        <v>272</v>
      </c>
      <c r="C94" s="32" t="s">
        <v>272</v>
      </c>
      <c r="D94" s="32" t="s">
        <v>274</v>
      </c>
      <c r="E94" s="32"/>
    </row>
    <row r="95" spans="1:5" x14ac:dyDescent="0.3">
      <c r="A95" s="33">
        <v>81</v>
      </c>
      <c r="B95" s="34" t="s">
        <v>33</v>
      </c>
      <c r="C95" s="34" t="s">
        <v>33</v>
      </c>
      <c r="D95" s="34" t="s">
        <v>275</v>
      </c>
      <c r="E95" s="34"/>
    </row>
    <row r="96" spans="1:5" ht="15" customHeight="1" x14ac:dyDescent="0.3">
      <c r="A96" s="1" t="s">
        <v>276</v>
      </c>
      <c r="B96" s="1"/>
      <c r="C96" s="1"/>
      <c r="D96" s="1"/>
      <c r="E96" s="1"/>
    </row>
    <row r="98" spans="1:5" x14ac:dyDescent="0.3">
      <c r="A98" s="17" t="s">
        <v>277</v>
      </c>
    </row>
    <row r="99" spans="1:5" x14ac:dyDescent="0.3">
      <c r="B99" s="9" t="s">
        <v>278</v>
      </c>
      <c r="C99" s="9" t="s">
        <v>279</v>
      </c>
      <c r="D99" s="9" t="s">
        <v>280</v>
      </c>
      <c r="E99" s="9" t="s">
        <v>281</v>
      </c>
    </row>
    <row r="100" spans="1:5" x14ac:dyDescent="0.3">
      <c r="B100" s="35" t="s">
        <v>282</v>
      </c>
      <c r="C100" s="19">
        <f>COUNT($A$15:$A$95)</f>
        <v>81</v>
      </c>
      <c r="D100" s="20">
        <v>81</v>
      </c>
      <c r="E100" s="21" t="str">
        <f>IF(C100=D100,"OK","CHECK")</f>
        <v>OK</v>
      </c>
    </row>
    <row r="101" spans="1:5" x14ac:dyDescent="0.3">
      <c r="B101" s="35" t="s">
        <v>283</v>
      </c>
      <c r="C101" s="19">
        <f>COUNTIF($E$15:$E$95,"E*")</f>
        <v>0</v>
      </c>
      <c r="D101" s="20">
        <v>0</v>
      </c>
      <c r="E101" s="21" t="str">
        <f>IF(C101=D101,"OK","CHECK")</f>
        <v>OK</v>
      </c>
    </row>
    <row r="102" spans="1:5" x14ac:dyDescent="0.3">
      <c r="B102" s="35" t="s">
        <v>284</v>
      </c>
      <c r="C102" s="19">
        <f>COUNTIF($D$15:$D$95,"*SCAN*")</f>
        <v>0</v>
      </c>
      <c r="D102" s="20">
        <v>0</v>
      </c>
      <c r="E102" s="21" t="str">
        <f>IF(C102=D102,"OK","CHECK")</f>
        <v>OK</v>
      </c>
    </row>
    <row r="103" spans="1:5" x14ac:dyDescent="0.3">
      <c r="B103" s="35" t="s">
        <v>285</v>
      </c>
      <c r="C103" s="19">
        <f>COUNTIF($D$15:$D$95,"*POP*")</f>
        <v>0</v>
      </c>
      <c r="D103" s="20">
        <v>0</v>
      </c>
      <c r="E103" s="21" t="str">
        <f>IF(C103=D103,"OK","CHECK")</f>
        <v>OK</v>
      </c>
    </row>
    <row r="106" spans="1:5" ht="15.6" x14ac:dyDescent="0.3">
      <c r="A106" s="28" t="s">
        <v>327</v>
      </c>
    </row>
    <row r="107" spans="1:5" x14ac:dyDescent="0.3">
      <c r="A107" s="29" t="s">
        <v>143</v>
      </c>
    </row>
    <row r="108" spans="1:5" x14ac:dyDescent="0.3">
      <c r="A108" s="18"/>
      <c r="B108" s="18" t="s">
        <v>286</v>
      </c>
    </row>
    <row r="109" spans="1:5" x14ac:dyDescent="0.3">
      <c r="A109" s="18"/>
      <c r="B109" s="18" t="s">
        <v>17</v>
      </c>
    </row>
    <row r="110" spans="1:5" x14ac:dyDescent="0.3">
      <c r="A110" s="18"/>
      <c r="B110" s="18" t="s">
        <v>287</v>
      </c>
    </row>
    <row r="111" spans="1:5" x14ac:dyDescent="0.3">
      <c r="A111" s="18"/>
      <c r="B111" s="18" t="s">
        <v>288</v>
      </c>
    </row>
    <row r="112" spans="1:5" x14ac:dyDescent="0.3">
      <c r="A112" s="18"/>
      <c r="B112" s="18" t="s">
        <v>18</v>
      </c>
    </row>
    <row r="113" spans="1:5" ht="27.75" customHeight="1" x14ac:dyDescent="0.3">
      <c r="A113" s="3" t="s">
        <v>148</v>
      </c>
      <c r="B113" s="3"/>
      <c r="C113" s="2" t="s">
        <v>289</v>
      </c>
      <c r="D113" s="2"/>
      <c r="E113" s="2"/>
    </row>
    <row r="115" spans="1:5" x14ac:dyDescent="0.3">
      <c r="A115" s="9" t="s">
        <v>150</v>
      </c>
      <c r="B115" s="9" t="s">
        <v>151</v>
      </c>
      <c r="C115" s="9" t="s">
        <v>152</v>
      </c>
      <c r="D115" s="9" t="s">
        <v>153</v>
      </c>
      <c r="E115" s="9" t="s">
        <v>154</v>
      </c>
    </row>
    <row r="116" spans="1:5" x14ac:dyDescent="0.3">
      <c r="A116" s="15">
        <v>1</v>
      </c>
      <c r="B116" s="30" t="s">
        <v>155</v>
      </c>
      <c r="C116" s="30" t="s">
        <v>289</v>
      </c>
      <c r="D116" s="30" t="s">
        <v>156</v>
      </c>
      <c r="E116" s="30"/>
    </row>
    <row r="117" spans="1:5" x14ac:dyDescent="0.3">
      <c r="A117" s="31">
        <v>2</v>
      </c>
      <c r="B117" s="32" t="s">
        <v>157</v>
      </c>
      <c r="C117" s="32" t="s">
        <v>289</v>
      </c>
      <c r="D117" s="32" t="s">
        <v>158</v>
      </c>
      <c r="E117" s="32"/>
    </row>
    <row r="118" spans="1:5" x14ac:dyDescent="0.3">
      <c r="A118" s="15">
        <v>3</v>
      </c>
      <c r="B118" s="30" t="s">
        <v>159</v>
      </c>
      <c r="C118" s="30" t="s">
        <v>290</v>
      </c>
      <c r="D118" s="30" t="s">
        <v>291</v>
      </c>
      <c r="E118" s="30"/>
    </row>
    <row r="119" spans="1:5" x14ac:dyDescent="0.3">
      <c r="A119" s="31">
        <v>4</v>
      </c>
      <c r="B119" s="32" t="s">
        <v>292</v>
      </c>
      <c r="C119" s="32" t="s">
        <v>290</v>
      </c>
      <c r="D119" s="32" t="s">
        <v>293</v>
      </c>
      <c r="E119" s="32"/>
    </row>
    <row r="120" spans="1:5" x14ac:dyDescent="0.3">
      <c r="A120" s="31">
        <v>5</v>
      </c>
      <c r="B120" s="32" t="s">
        <v>294</v>
      </c>
      <c r="C120" s="32" t="s">
        <v>295</v>
      </c>
      <c r="D120" s="32" t="s">
        <v>168</v>
      </c>
      <c r="E120" s="32"/>
    </row>
    <row r="121" spans="1:5" x14ac:dyDescent="0.3">
      <c r="A121" s="31">
        <v>6</v>
      </c>
      <c r="B121" s="32" t="s">
        <v>192</v>
      </c>
      <c r="C121" s="32" t="s">
        <v>296</v>
      </c>
      <c r="D121" s="32" t="s">
        <v>193</v>
      </c>
      <c r="E121" s="32"/>
    </row>
    <row r="122" spans="1:5" x14ac:dyDescent="0.3">
      <c r="A122" s="15">
        <v>7</v>
      </c>
      <c r="B122" s="30" t="s">
        <v>194</v>
      </c>
      <c r="C122" s="30" t="s">
        <v>297</v>
      </c>
      <c r="D122" s="30" t="s">
        <v>196</v>
      </c>
      <c r="E122" s="30"/>
    </row>
    <row r="123" spans="1:5" x14ac:dyDescent="0.3">
      <c r="A123" s="31">
        <v>8</v>
      </c>
      <c r="B123" s="32" t="s">
        <v>197</v>
      </c>
      <c r="C123" s="32" t="s">
        <v>297</v>
      </c>
      <c r="D123" s="32" t="s">
        <v>198</v>
      </c>
      <c r="E123" s="32"/>
    </row>
    <row r="124" spans="1:5" x14ac:dyDescent="0.3">
      <c r="A124" s="15">
        <v>9</v>
      </c>
      <c r="B124" s="30" t="s">
        <v>199</v>
      </c>
      <c r="C124" s="30" t="s">
        <v>298</v>
      </c>
      <c r="D124" s="30" t="s">
        <v>201</v>
      </c>
      <c r="E124" s="30"/>
    </row>
    <row r="125" spans="1:5" x14ac:dyDescent="0.3">
      <c r="A125" s="15">
        <v>10</v>
      </c>
      <c r="B125" s="30" t="s">
        <v>202</v>
      </c>
      <c r="C125" s="30" t="s">
        <v>298</v>
      </c>
      <c r="D125" s="30" t="s">
        <v>203</v>
      </c>
      <c r="E125" s="30"/>
    </row>
    <row r="126" spans="1:5" x14ac:dyDescent="0.3">
      <c r="A126" s="15">
        <v>11</v>
      </c>
      <c r="B126" s="30" t="s">
        <v>204</v>
      </c>
      <c r="C126" s="30" t="s">
        <v>298</v>
      </c>
      <c r="D126" s="30" t="s">
        <v>205</v>
      </c>
      <c r="E126" s="30"/>
    </row>
    <row r="127" spans="1:5" x14ac:dyDescent="0.3">
      <c r="A127" s="15">
        <v>12</v>
      </c>
      <c r="B127" s="30" t="s">
        <v>206</v>
      </c>
      <c r="C127" s="30" t="s">
        <v>298</v>
      </c>
      <c r="D127" s="30" t="s">
        <v>175</v>
      </c>
      <c r="E127" s="30"/>
    </row>
    <row r="128" spans="1:5" x14ac:dyDescent="0.3">
      <c r="A128" s="31">
        <v>13</v>
      </c>
      <c r="B128" s="32" t="s">
        <v>207</v>
      </c>
      <c r="C128" s="32" t="s">
        <v>298</v>
      </c>
      <c r="D128" s="32" t="s">
        <v>158</v>
      </c>
      <c r="E128" s="32"/>
    </row>
    <row r="129" spans="1:5" x14ac:dyDescent="0.3">
      <c r="A129" s="15">
        <v>14</v>
      </c>
      <c r="B129" s="30" t="s">
        <v>208</v>
      </c>
      <c r="C129" s="30" t="s">
        <v>299</v>
      </c>
      <c r="D129" s="30" t="s">
        <v>210</v>
      </c>
      <c r="E129" s="30"/>
    </row>
    <row r="130" spans="1:5" x14ac:dyDescent="0.3">
      <c r="A130" s="31">
        <v>15</v>
      </c>
      <c r="B130" s="32" t="s">
        <v>211</v>
      </c>
      <c r="C130" s="32" t="s">
        <v>299</v>
      </c>
      <c r="D130" s="32" t="s">
        <v>165</v>
      </c>
      <c r="E130" s="32"/>
    </row>
    <row r="131" spans="1:5" x14ac:dyDescent="0.3">
      <c r="A131" s="15">
        <v>16</v>
      </c>
      <c r="B131" s="30" t="s">
        <v>212</v>
      </c>
      <c r="C131" s="30" t="s">
        <v>300</v>
      </c>
      <c r="D131" s="30" t="s">
        <v>214</v>
      </c>
      <c r="E131" s="30"/>
    </row>
    <row r="132" spans="1:5" x14ac:dyDescent="0.3">
      <c r="A132" s="31">
        <v>17</v>
      </c>
      <c r="B132" s="32" t="s">
        <v>215</v>
      </c>
      <c r="C132" s="32" t="s">
        <v>300</v>
      </c>
      <c r="D132" s="32" t="s">
        <v>183</v>
      </c>
      <c r="E132" s="32"/>
    </row>
    <row r="133" spans="1:5" x14ac:dyDescent="0.3">
      <c r="A133" s="36">
        <v>18</v>
      </c>
      <c r="B133" s="37" t="s">
        <v>208</v>
      </c>
      <c r="C133" s="37" t="s">
        <v>301</v>
      </c>
      <c r="D133" s="37" t="s">
        <v>302</v>
      </c>
      <c r="E133" s="38" t="s">
        <v>303</v>
      </c>
    </row>
    <row r="134" spans="1:5" x14ac:dyDescent="0.3">
      <c r="A134" s="31">
        <v>19</v>
      </c>
      <c r="B134" s="32" t="s">
        <v>219</v>
      </c>
      <c r="C134" s="32" t="s">
        <v>301</v>
      </c>
      <c r="D134" s="32" t="s">
        <v>220</v>
      </c>
      <c r="E134" s="32"/>
    </row>
    <row r="135" spans="1:5" x14ac:dyDescent="0.3">
      <c r="A135" s="15">
        <v>20</v>
      </c>
      <c r="B135" s="30" t="s">
        <v>199</v>
      </c>
      <c r="C135" s="30" t="s">
        <v>304</v>
      </c>
      <c r="D135" s="30" t="s">
        <v>222</v>
      </c>
      <c r="E135" s="30"/>
    </row>
    <row r="136" spans="1:5" x14ac:dyDescent="0.3">
      <c r="A136" s="15">
        <v>21</v>
      </c>
      <c r="B136" s="30" t="s">
        <v>202</v>
      </c>
      <c r="C136" s="30" t="s">
        <v>304</v>
      </c>
      <c r="D136" s="30" t="s">
        <v>223</v>
      </c>
      <c r="E136" s="30"/>
    </row>
    <row r="137" spans="1:5" x14ac:dyDescent="0.3">
      <c r="A137" s="15">
        <v>22</v>
      </c>
      <c r="B137" s="30" t="s">
        <v>224</v>
      </c>
      <c r="C137" s="30" t="s">
        <v>304</v>
      </c>
      <c r="D137" s="30" t="s">
        <v>225</v>
      </c>
      <c r="E137" s="30"/>
    </row>
    <row r="138" spans="1:5" x14ac:dyDescent="0.3">
      <c r="A138" s="31">
        <v>23</v>
      </c>
      <c r="B138" s="32" t="s">
        <v>226</v>
      </c>
      <c r="C138" s="32" t="s">
        <v>304</v>
      </c>
      <c r="D138" s="32" t="s">
        <v>165</v>
      </c>
      <c r="E138" s="32"/>
    </row>
    <row r="139" spans="1:5" x14ac:dyDescent="0.3">
      <c r="A139" s="15">
        <v>24</v>
      </c>
      <c r="B139" s="30" t="s">
        <v>227</v>
      </c>
      <c r="C139" s="30" t="s">
        <v>305</v>
      </c>
      <c r="D139" s="30" t="s">
        <v>229</v>
      </c>
      <c r="E139" s="30"/>
    </row>
    <row r="140" spans="1:5" x14ac:dyDescent="0.3">
      <c r="A140" s="31">
        <v>25</v>
      </c>
      <c r="B140" s="32" t="s">
        <v>230</v>
      </c>
      <c r="C140" s="32" t="s">
        <v>305</v>
      </c>
      <c r="D140" s="32" t="s">
        <v>231</v>
      </c>
      <c r="E140" s="32"/>
    </row>
    <row r="141" spans="1:5" x14ac:dyDescent="0.3">
      <c r="A141" s="15">
        <v>26</v>
      </c>
      <c r="B141" s="30" t="s">
        <v>224</v>
      </c>
      <c r="C141" s="30" t="s">
        <v>306</v>
      </c>
      <c r="D141" s="30" t="s">
        <v>307</v>
      </c>
      <c r="E141" s="30"/>
    </row>
    <row r="142" spans="1:5" x14ac:dyDescent="0.3">
      <c r="A142" s="31">
        <v>27</v>
      </c>
      <c r="B142" s="32" t="s">
        <v>308</v>
      </c>
      <c r="C142" s="32" t="s">
        <v>306</v>
      </c>
      <c r="D142" s="32" t="s">
        <v>249</v>
      </c>
      <c r="E142" s="32"/>
    </row>
    <row r="143" spans="1:5" x14ac:dyDescent="0.3">
      <c r="A143" s="15">
        <v>28</v>
      </c>
      <c r="B143" s="30" t="s">
        <v>235</v>
      </c>
      <c r="C143" s="30" t="s">
        <v>309</v>
      </c>
      <c r="D143" s="30" t="s">
        <v>236</v>
      </c>
      <c r="E143" s="30"/>
    </row>
    <row r="144" spans="1:5" x14ac:dyDescent="0.3">
      <c r="A144" s="15">
        <v>29</v>
      </c>
      <c r="B144" s="30" t="s">
        <v>237</v>
      </c>
      <c r="C144" s="30" t="s">
        <v>309</v>
      </c>
      <c r="D144" s="30" t="s">
        <v>238</v>
      </c>
      <c r="E144" s="30"/>
    </row>
    <row r="145" spans="1:5" x14ac:dyDescent="0.3">
      <c r="A145" s="15">
        <v>30</v>
      </c>
      <c r="B145" s="30" t="s">
        <v>239</v>
      </c>
      <c r="C145" s="30" t="s">
        <v>309</v>
      </c>
      <c r="D145" s="30" t="s">
        <v>240</v>
      </c>
      <c r="E145" s="30"/>
    </row>
    <row r="146" spans="1:5" x14ac:dyDescent="0.3">
      <c r="A146" s="31">
        <v>31</v>
      </c>
      <c r="B146" s="32" t="s">
        <v>241</v>
      </c>
      <c r="C146" s="32" t="s">
        <v>309</v>
      </c>
      <c r="D146" s="32" t="s">
        <v>242</v>
      </c>
      <c r="E146" s="32"/>
    </row>
    <row r="147" spans="1:5" x14ac:dyDescent="0.3">
      <c r="A147" s="36">
        <v>32</v>
      </c>
      <c r="B147" s="37" t="s">
        <v>243</v>
      </c>
      <c r="C147" s="37" t="s">
        <v>271</v>
      </c>
      <c r="D147" s="37" t="s">
        <v>310</v>
      </c>
      <c r="E147" s="38" t="s">
        <v>311</v>
      </c>
    </row>
    <row r="148" spans="1:5" x14ac:dyDescent="0.3">
      <c r="A148" s="15">
        <v>33</v>
      </c>
      <c r="B148" s="30" t="s">
        <v>239</v>
      </c>
      <c r="C148" s="30" t="s">
        <v>271</v>
      </c>
      <c r="D148" s="30" t="s">
        <v>257</v>
      </c>
      <c r="E148" s="30"/>
    </row>
    <row r="149" spans="1:5" x14ac:dyDescent="0.3">
      <c r="A149" s="15">
        <v>34</v>
      </c>
      <c r="B149" s="30" t="s">
        <v>258</v>
      </c>
      <c r="C149" s="30" t="s">
        <v>271</v>
      </c>
      <c r="D149" s="30" t="s">
        <v>259</v>
      </c>
      <c r="E149" s="30"/>
    </row>
    <row r="150" spans="1:5" x14ac:dyDescent="0.3">
      <c r="A150" s="31">
        <v>35</v>
      </c>
      <c r="B150" s="32" t="s">
        <v>219</v>
      </c>
      <c r="C150" s="32" t="s">
        <v>271</v>
      </c>
      <c r="D150" s="32" t="s">
        <v>220</v>
      </c>
      <c r="E150" s="32"/>
    </row>
    <row r="151" spans="1:5" x14ac:dyDescent="0.3">
      <c r="A151" s="15">
        <v>36</v>
      </c>
      <c r="B151" s="30" t="s">
        <v>199</v>
      </c>
      <c r="C151" s="30" t="s">
        <v>272</v>
      </c>
      <c r="D151" s="30" t="s">
        <v>273</v>
      </c>
      <c r="E151" s="30"/>
    </row>
    <row r="152" spans="1:5" x14ac:dyDescent="0.3">
      <c r="A152" s="31">
        <v>37</v>
      </c>
      <c r="B152" s="32" t="s">
        <v>272</v>
      </c>
      <c r="C152" s="32" t="s">
        <v>272</v>
      </c>
      <c r="D152" s="32" t="s">
        <v>274</v>
      </c>
      <c r="E152" s="32"/>
    </row>
    <row r="153" spans="1:5" x14ac:dyDescent="0.3">
      <c r="A153" s="33">
        <v>38</v>
      </c>
      <c r="B153" s="34" t="s">
        <v>33</v>
      </c>
      <c r="C153" s="34" t="s">
        <v>33</v>
      </c>
      <c r="D153" s="34" t="s">
        <v>275</v>
      </c>
      <c r="E153" s="34"/>
    </row>
    <row r="154" spans="1:5" ht="15" customHeight="1" x14ac:dyDescent="0.3">
      <c r="A154" s="1" t="s">
        <v>312</v>
      </c>
      <c r="B154" s="1"/>
      <c r="C154" s="1"/>
      <c r="D154" s="1"/>
      <c r="E154" s="1"/>
    </row>
    <row r="156" spans="1:5" x14ac:dyDescent="0.3">
      <c r="A156" s="17" t="s">
        <v>313</v>
      </c>
    </row>
    <row r="157" spans="1:5" x14ac:dyDescent="0.3">
      <c r="A157" s="9" t="s">
        <v>314</v>
      </c>
      <c r="B157" s="9" t="s">
        <v>315</v>
      </c>
      <c r="C157" s="9" t="s">
        <v>316</v>
      </c>
      <c r="D157" s="9" t="s">
        <v>317</v>
      </c>
      <c r="E157" s="9" t="s">
        <v>318</v>
      </c>
    </row>
    <row r="158" spans="1:5" x14ac:dyDescent="0.3">
      <c r="A158" s="39" t="s">
        <v>319</v>
      </c>
      <c r="B158" s="40" t="s">
        <v>320</v>
      </c>
      <c r="C158" s="39" t="s">
        <v>20</v>
      </c>
      <c r="D158" s="40" t="s">
        <v>47</v>
      </c>
      <c r="E158" s="40" t="s">
        <v>321</v>
      </c>
    </row>
    <row r="159" spans="1:5" x14ac:dyDescent="0.3">
      <c r="A159" s="39" t="s">
        <v>322</v>
      </c>
      <c r="B159" s="40" t="s">
        <v>323</v>
      </c>
      <c r="C159" s="39" t="s">
        <v>20</v>
      </c>
      <c r="D159" s="40" t="s">
        <v>65</v>
      </c>
      <c r="E159" s="40" t="s">
        <v>324</v>
      </c>
    </row>
    <row r="161" spans="1:5" x14ac:dyDescent="0.3">
      <c r="A161" s="17" t="s">
        <v>277</v>
      </c>
    </row>
    <row r="162" spans="1:5" x14ac:dyDescent="0.3">
      <c r="B162" s="9" t="s">
        <v>278</v>
      </c>
      <c r="C162" s="9" t="s">
        <v>279</v>
      </c>
      <c r="D162" s="9" t="s">
        <v>280</v>
      </c>
      <c r="E162" s="9" t="s">
        <v>281</v>
      </c>
    </row>
    <row r="163" spans="1:5" x14ac:dyDescent="0.3">
      <c r="B163" s="35" t="s">
        <v>282</v>
      </c>
      <c r="C163" s="19">
        <f>COUNT($A$116:$A$153)</f>
        <v>38</v>
      </c>
      <c r="D163" s="20">
        <v>38</v>
      </c>
      <c r="E163" s="21" t="str">
        <f>IF(C163=D163,"OK","CHECK")</f>
        <v>OK</v>
      </c>
    </row>
    <row r="164" spans="1:5" x14ac:dyDescent="0.3">
      <c r="B164" s="35" t="s">
        <v>283</v>
      </c>
      <c r="C164" s="19">
        <f>COUNTIF($E$116:$E$153,"E*")</f>
        <v>2</v>
      </c>
      <c r="D164" s="20">
        <v>2</v>
      </c>
      <c r="E164" s="21" t="str">
        <f>IF(C164=D164,"OK","CHECK")</f>
        <v>OK</v>
      </c>
    </row>
    <row r="165" spans="1:5" x14ac:dyDescent="0.3">
      <c r="B165" s="35" t="s">
        <v>284</v>
      </c>
      <c r="C165" s="19">
        <f>COUNTIF($D$116:$D$153,"*SCAN*")</f>
        <v>0</v>
      </c>
      <c r="D165" s="20">
        <v>0</v>
      </c>
      <c r="E165" s="21" t="str">
        <f>IF(C165=D165,"OK","CHECK")</f>
        <v>OK</v>
      </c>
    </row>
    <row r="166" spans="1:5" x14ac:dyDescent="0.3">
      <c r="B166" s="35" t="s">
        <v>285</v>
      </c>
      <c r="C166" s="19">
        <f>COUNTIF($D$116:$D$153,"*POP*")</f>
        <v>2</v>
      </c>
      <c r="D166" s="20">
        <v>2</v>
      </c>
      <c r="E166" s="21" t="str">
        <f>IF(C166=D166,"OK","CHECK")</f>
        <v>OK</v>
      </c>
    </row>
    <row r="169" spans="1:5" ht="15.6" x14ac:dyDescent="0.3">
      <c r="A169" s="28"/>
    </row>
    <row r="170" spans="1:5" x14ac:dyDescent="0.3">
      <c r="A170" s="29"/>
    </row>
    <row r="171" spans="1:5" x14ac:dyDescent="0.3">
      <c r="A171" s="18"/>
      <c r="B171" s="18"/>
    </row>
    <row r="172" spans="1:5" x14ac:dyDescent="0.3">
      <c r="A172" s="18"/>
      <c r="B172" s="18"/>
    </row>
    <row r="173" spans="1:5" x14ac:dyDescent="0.3">
      <c r="A173" s="18"/>
      <c r="B173" s="18"/>
    </row>
    <row r="174" spans="1:5" x14ac:dyDescent="0.3">
      <c r="A174" s="18"/>
      <c r="B174" s="18"/>
    </row>
    <row r="175" spans="1:5" x14ac:dyDescent="0.3">
      <c r="A175" s="18"/>
      <c r="B175" s="18"/>
    </row>
    <row r="176" spans="1:5" x14ac:dyDescent="0.3">
      <c r="A176" s="18"/>
      <c r="B176" s="18"/>
    </row>
    <row r="177" spans="1:5" ht="27.75" customHeight="1" x14ac:dyDescent="0.3">
      <c r="A177" s="3"/>
      <c r="B177" s="3"/>
      <c r="C177" s="2"/>
      <c r="D177" s="2"/>
      <c r="E177" s="2"/>
    </row>
    <row r="179" spans="1:5" x14ac:dyDescent="0.3">
      <c r="A179" s="9"/>
      <c r="B179" s="9"/>
      <c r="C179" s="9"/>
      <c r="D179" s="9"/>
      <c r="E179" s="9"/>
    </row>
    <row r="180" spans="1:5" x14ac:dyDescent="0.3">
      <c r="A180" s="15"/>
      <c r="B180" s="30"/>
      <c r="C180" s="30"/>
      <c r="D180" s="30"/>
      <c r="E180" s="30"/>
    </row>
    <row r="181" spans="1:5" x14ac:dyDescent="0.3">
      <c r="A181" s="31"/>
      <c r="B181" s="32"/>
      <c r="C181" s="32"/>
      <c r="D181" s="32"/>
      <c r="E181" s="32"/>
    </row>
    <row r="182" spans="1:5" x14ac:dyDescent="0.3">
      <c r="A182" s="15"/>
      <c r="B182" s="30"/>
      <c r="C182" s="30"/>
      <c r="D182" s="30"/>
      <c r="E182" s="30"/>
    </row>
    <row r="183" spans="1:5" x14ac:dyDescent="0.3">
      <c r="A183" s="31"/>
      <c r="B183" s="32"/>
      <c r="C183" s="32"/>
      <c r="D183" s="32"/>
      <c r="E183" s="32"/>
    </row>
    <row r="184" spans="1:5" x14ac:dyDescent="0.3">
      <c r="A184" s="31"/>
      <c r="B184" s="32"/>
      <c r="C184" s="32"/>
      <c r="D184" s="32"/>
      <c r="E184" s="32"/>
    </row>
    <row r="185" spans="1:5" x14ac:dyDescent="0.3">
      <c r="A185" s="31"/>
      <c r="B185" s="32"/>
      <c r="C185" s="32"/>
      <c r="D185" s="32"/>
      <c r="E185" s="32"/>
    </row>
    <row r="186" spans="1:5" x14ac:dyDescent="0.3">
      <c r="A186" s="15"/>
      <c r="B186" s="30"/>
      <c r="C186" s="30"/>
      <c r="D186" s="30"/>
      <c r="E186" s="30"/>
    </row>
    <row r="187" spans="1:5" x14ac:dyDescent="0.3">
      <c r="A187" s="31"/>
      <c r="B187" s="32"/>
      <c r="C187" s="32"/>
      <c r="D187" s="32"/>
      <c r="E187" s="32"/>
    </row>
    <row r="188" spans="1:5" x14ac:dyDescent="0.3">
      <c r="A188" s="15"/>
      <c r="B188" s="30"/>
      <c r="C188" s="30"/>
      <c r="D188" s="30"/>
      <c r="E188" s="30"/>
    </row>
    <row r="189" spans="1:5" x14ac:dyDescent="0.3">
      <c r="A189" s="15"/>
      <c r="B189" s="30"/>
      <c r="C189" s="30"/>
      <c r="D189" s="30"/>
      <c r="E189" s="30"/>
    </row>
    <row r="190" spans="1:5" x14ac:dyDescent="0.3">
      <c r="A190" s="15"/>
      <c r="B190" s="30"/>
      <c r="C190" s="30"/>
      <c r="D190" s="30"/>
      <c r="E190" s="30"/>
    </row>
    <row r="191" spans="1:5" x14ac:dyDescent="0.3">
      <c r="A191" s="15"/>
      <c r="B191" s="30"/>
      <c r="C191" s="30"/>
      <c r="D191" s="30"/>
      <c r="E191" s="30"/>
    </row>
    <row r="192" spans="1:5" x14ac:dyDescent="0.3">
      <c r="A192" s="31"/>
      <c r="B192" s="32"/>
      <c r="C192" s="32"/>
      <c r="D192" s="32"/>
      <c r="E192" s="32"/>
    </row>
    <row r="193" spans="1:5" x14ac:dyDescent="0.3">
      <c r="A193" s="15"/>
      <c r="B193" s="30"/>
      <c r="C193" s="30"/>
      <c r="D193" s="30"/>
      <c r="E193" s="30"/>
    </row>
    <row r="194" spans="1:5" x14ac:dyDescent="0.3">
      <c r="A194" s="31"/>
      <c r="B194" s="32"/>
      <c r="C194" s="32"/>
      <c r="D194" s="32"/>
      <c r="E194" s="32"/>
    </row>
    <row r="195" spans="1:5" x14ac:dyDescent="0.3">
      <c r="A195" s="15"/>
      <c r="B195" s="30"/>
      <c r="C195" s="30"/>
      <c r="D195" s="30"/>
      <c r="E195" s="30"/>
    </row>
    <row r="196" spans="1:5" x14ac:dyDescent="0.3">
      <c r="A196" s="31"/>
      <c r="B196" s="32"/>
      <c r="C196" s="32"/>
      <c r="D196" s="32"/>
      <c r="E196" s="32"/>
    </row>
    <row r="197" spans="1:5" x14ac:dyDescent="0.3">
      <c r="A197" s="15"/>
      <c r="B197" s="30"/>
      <c r="C197" s="30"/>
      <c r="D197" s="30"/>
      <c r="E197" s="30"/>
    </row>
    <row r="198" spans="1:5" x14ac:dyDescent="0.3">
      <c r="A198" s="15"/>
      <c r="B198" s="30"/>
      <c r="C198" s="30"/>
      <c r="D198" s="30"/>
      <c r="E198" s="30"/>
    </row>
    <row r="199" spans="1:5" x14ac:dyDescent="0.3">
      <c r="A199" s="15"/>
      <c r="B199" s="30"/>
      <c r="C199" s="30"/>
      <c r="D199" s="30"/>
      <c r="E199" s="30"/>
    </row>
    <row r="200" spans="1:5" x14ac:dyDescent="0.3">
      <c r="A200" s="31"/>
      <c r="B200" s="32"/>
      <c r="C200" s="32"/>
      <c r="D200" s="32"/>
      <c r="E200" s="32"/>
    </row>
    <row r="201" spans="1:5" x14ac:dyDescent="0.3">
      <c r="A201" s="15"/>
      <c r="B201" s="30"/>
      <c r="C201" s="30"/>
      <c r="D201" s="30"/>
      <c r="E201" s="30"/>
    </row>
    <row r="202" spans="1:5" x14ac:dyDescent="0.3">
      <c r="A202" s="31"/>
      <c r="B202" s="32"/>
      <c r="C202" s="32"/>
      <c r="D202" s="32"/>
      <c r="E202" s="32"/>
    </row>
    <row r="203" spans="1:5" x14ac:dyDescent="0.3">
      <c r="A203" s="15"/>
      <c r="B203" s="30"/>
      <c r="C203" s="30"/>
      <c r="D203" s="30"/>
      <c r="E203" s="30"/>
    </row>
    <row r="204" spans="1:5" x14ac:dyDescent="0.3">
      <c r="A204" s="31"/>
      <c r="B204" s="32"/>
      <c r="C204" s="32"/>
      <c r="D204" s="32"/>
      <c r="E204" s="32"/>
    </row>
    <row r="205" spans="1:5" x14ac:dyDescent="0.3">
      <c r="A205" s="15"/>
      <c r="B205" s="30"/>
      <c r="C205" s="30"/>
      <c r="D205" s="30"/>
      <c r="E205" s="30"/>
    </row>
    <row r="206" spans="1:5" x14ac:dyDescent="0.3">
      <c r="A206" s="15"/>
      <c r="B206" s="30"/>
      <c r="C206" s="30"/>
      <c r="D206" s="30"/>
      <c r="E206" s="30"/>
    </row>
    <row r="207" spans="1:5" x14ac:dyDescent="0.3">
      <c r="A207" s="31"/>
      <c r="B207" s="32"/>
      <c r="C207" s="32"/>
      <c r="D207" s="32"/>
      <c r="E207" s="32"/>
    </row>
    <row r="208" spans="1:5" x14ac:dyDescent="0.3">
      <c r="A208" s="36"/>
      <c r="B208" s="37"/>
      <c r="C208" s="37"/>
      <c r="D208" s="37"/>
      <c r="E208" s="38"/>
    </row>
    <row r="209" spans="1:5" x14ac:dyDescent="0.3">
      <c r="A209" s="15"/>
      <c r="B209" s="30"/>
      <c r="C209" s="30"/>
      <c r="D209" s="30"/>
      <c r="E209" s="30"/>
    </row>
    <row r="210" spans="1:5" x14ac:dyDescent="0.3">
      <c r="A210" s="31"/>
      <c r="B210" s="32"/>
      <c r="C210" s="32"/>
      <c r="D210" s="32"/>
      <c r="E210" s="32"/>
    </row>
    <row r="211" spans="1:5" x14ac:dyDescent="0.3">
      <c r="A211" s="15"/>
      <c r="B211" s="30"/>
      <c r="C211" s="30"/>
      <c r="D211" s="30"/>
      <c r="E211" s="30"/>
    </row>
    <row r="212" spans="1:5" x14ac:dyDescent="0.3">
      <c r="A212" s="31"/>
      <c r="B212" s="32"/>
      <c r="C212" s="32"/>
      <c r="D212" s="32"/>
      <c r="E212" s="32"/>
    </row>
    <row r="213" spans="1:5" x14ac:dyDescent="0.3">
      <c r="A213" s="15"/>
      <c r="B213" s="30"/>
      <c r="C213" s="30"/>
      <c r="D213" s="30"/>
      <c r="E213" s="30"/>
    </row>
    <row r="214" spans="1:5" x14ac:dyDescent="0.3">
      <c r="A214" s="15"/>
      <c r="B214" s="30"/>
      <c r="C214" s="30"/>
      <c r="D214" s="30"/>
      <c r="E214" s="30"/>
    </row>
    <row r="215" spans="1:5" x14ac:dyDescent="0.3">
      <c r="A215" s="15"/>
      <c r="B215" s="30"/>
      <c r="C215" s="30"/>
      <c r="D215" s="30"/>
      <c r="E215" s="30"/>
    </row>
    <row r="216" spans="1:5" x14ac:dyDescent="0.3">
      <c r="A216" s="31"/>
      <c r="B216" s="32"/>
      <c r="C216" s="32"/>
      <c r="D216" s="32"/>
      <c r="E216" s="32"/>
    </row>
    <row r="217" spans="1:5" x14ac:dyDescent="0.3">
      <c r="A217" s="15"/>
      <c r="B217" s="30"/>
      <c r="C217" s="30"/>
      <c r="D217" s="30"/>
      <c r="E217" s="30"/>
    </row>
    <row r="218" spans="1:5" x14ac:dyDescent="0.3">
      <c r="A218" s="15"/>
      <c r="B218" s="30"/>
      <c r="C218" s="30"/>
      <c r="D218" s="30"/>
      <c r="E218" s="30"/>
    </row>
    <row r="219" spans="1:5" x14ac:dyDescent="0.3">
      <c r="A219" s="15"/>
      <c r="B219" s="30"/>
      <c r="C219" s="30"/>
      <c r="D219" s="30"/>
      <c r="E219" s="30"/>
    </row>
    <row r="220" spans="1:5" x14ac:dyDescent="0.3">
      <c r="A220" s="31"/>
      <c r="B220" s="32"/>
      <c r="C220" s="32"/>
      <c r="D220" s="32"/>
      <c r="E220" s="32"/>
    </row>
    <row r="221" spans="1:5" x14ac:dyDescent="0.3">
      <c r="A221" s="15"/>
      <c r="B221" s="30"/>
      <c r="C221" s="30"/>
      <c r="D221" s="30"/>
      <c r="E221" s="30"/>
    </row>
    <row r="222" spans="1:5" x14ac:dyDescent="0.3">
      <c r="A222" s="31"/>
      <c r="B222" s="32"/>
      <c r="C222" s="32"/>
      <c r="D222" s="32"/>
      <c r="E222" s="32"/>
    </row>
    <row r="223" spans="1:5" x14ac:dyDescent="0.3">
      <c r="A223" s="15"/>
      <c r="B223" s="30"/>
      <c r="C223" s="30"/>
      <c r="D223" s="30"/>
      <c r="E223" s="30"/>
    </row>
    <row r="224" spans="1:5" x14ac:dyDescent="0.3">
      <c r="A224" s="31"/>
      <c r="B224" s="32"/>
      <c r="C224" s="32"/>
      <c r="D224" s="32"/>
      <c r="E224" s="32"/>
    </row>
    <row r="225" spans="1:5" x14ac:dyDescent="0.3">
      <c r="A225" s="15"/>
      <c r="B225" s="30"/>
      <c r="C225" s="30"/>
      <c r="D225" s="30"/>
      <c r="E225" s="30"/>
    </row>
    <row r="226" spans="1:5" x14ac:dyDescent="0.3">
      <c r="A226" s="15"/>
      <c r="B226" s="30"/>
      <c r="C226" s="30"/>
      <c r="D226" s="30"/>
      <c r="E226" s="30"/>
    </row>
    <row r="227" spans="1:5" x14ac:dyDescent="0.3">
      <c r="A227" s="15"/>
      <c r="B227" s="30"/>
      <c r="C227" s="30"/>
      <c r="D227" s="30"/>
      <c r="E227" s="30"/>
    </row>
    <row r="228" spans="1:5" x14ac:dyDescent="0.3">
      <c r="A228" s="31"/>
      <c r="B228" s="32"/>
      <c r="C228" s="32"/>
      <c r="D228" s="32"/>
      <c r="E228" s="32"/>
    </row>
    <row r="229" spans="1:5" x14ac:dyDescent="0.3">
      <c r="A229" s="36"/>
      <c r="B229" s="37"/>
      <c r="C229" s="37"/>
      <c r="D229" s="37"/>
      <c r="E229" s="38"/>
    </row>
    <row r="230" spans="1:5" x14ac:dyDescent="0.3">
      <c r="A230" s="15"/>
      <c r="B230" s="30"/>
      <c r="C230" s="30"/>
      <c r="D230" s="30"/>
      <c r="E230" s="30"/>
    </row>
    <row r="231" spans="1:5" x14ac:dyDescent="0.3">
      <c r="A231" s="15"/>
      <c r="B231" s="30"/>
      <c r="C231" s="30"/>
      <c r="D231" s="30"/>
      <c r="E231" s="30"/>
    </row>
    <row r="232" spans="1:5" x14ac:dyDescent="0.3">
      <c r="A232" s="31"/>
      <c r="B232" s="32"/>
      <c r="C232" s="32"/>
      <c r="D232" s="32"/>
      <c r="E232" s="32"/>
    </row>
    <row r="233" spans="1:5" x14ac:dyDescent="0.3">
      <c r="A233" s="15"/>
      <c r="B233" s="30"/>
      <c r="C233" s="30"/>
      <c r="D233" s="30"/>
      <c r="E233" s="30"/>
    </row>
    <row r="234" spans="1:5" x14ac:dyDescent="0.3">
      <c r="A234" s="15"/>
      <c r="B234" s="30"/>
      <c r="C234" s="30"/>
      <c r="D234" s="30"/>
      <c r="E234" s="30"/>
    </row>
    <row r="235" spans="1:5" x14ac:dyDescent="0.3">
      <c r="A235" s="15"/>
      <c r="B235" s="30"/>
      <c r="C235" s="30"/>
      <c r="D235" s="30"/>
      <c r="E235" s="30"/>
    </row>
    <row r="236" spans="1:5" x14ac:dyDescent="0.3">
      <c r="A236" s="31"/>
      <c r="B236" s="32"/>
      <c r="C236" s="32"/>
      <c r="D236" s="32"/>
      <c r="E236" s="32"/>
    </row>
    <row r="237" spans="1:5" x14ac:dyDescent="0.3">
      <c r="A237" s="15"/>
      <c r="B237" s="30"/>
      <c r="C237" s="30"/>
      <c r="D237" s="30"/>
      <c r="E237" s="30"/>
    </row>
    <row r="238" spans="1:5" x14ac:dyDescent="0.3">
      <c r="A238" s="31"/>
      <c r="B238" s="32"/>
      <c r="C238" s="32"/>
      <c r="D238" s="32"/>
      <c r="E238" s="32"/>
    </row>
    <row r="239" spans="1:5" x14ac:dyDescent="0.3">
      <c r="A239" s="33"/>
      <c r="B239" s="34"/>
      <c r="C239" s="34"/>
      <c r="D239" s="34"/>
      <c r="E239" s="34"/>
    </row>
    <row r="240" spans="1:5" ht="15" customHeight="1" x14ac:dyDescent="0.3">
      <c r="A240" s="1"/>
      <c r="B240" s="1"/>
      <c r="C240" s="1"/>
      <c r="D240" s="1"/>
      <c r="E240" s="1"/>
    </row>
    <row r="242" spans="1:5" x14ac:dyDescent="0.3">
      <c r="A242" s="17"/>
    </row>
    <row r="243" spans="1:5" x14ac:dyDescent="0.3">
      <c r="A243" s="9"/>
      <c r="B243" s="9"/>
      <c r="C243" s="9"/>
      <c r="D243" s="9"/>
      <c r="E243" s="9"/>
    </row>
    <row r="244" spans="1:5" x14ac:dyDescent="0.3">
      <c r="A244" s="39"/>
      <c r="B244" s="40"/>
      <c r="C244" s="39"/>
      <c r="D244" s="40"/>
      <c r="E244" s="40"/>
    </row>
    <row r="245" spans="1:5" x14ac:dyDescent="0.3">
      <c r="A245" s="39"/>
      <c r="B245" s="40"/>
      <c r="C245" s="39"/>
      <c r="D245" s="40"/>
      <c r="E245" s="40"/>
    </row>
    <row r="247" spans="1:5" x14ac:dyDescent="0.3">
      <c r="A247" s="17"/>
    </row>
    <row r="248" spans="1:5" x14ac:dyDescent="0.3">
      <c r="B248" s="9"/>
      <c r="C248" s="9"/>
      <c r="D248" s="9"/>
      <c r="E248" s="9"/>
    </row>
    <row r="249" spans="1:5" x14ac:dyDescent="0.3">
      <c r="B249" s="35"/>
      <c r="C249" s="19"/>
      <c r="D249" s="20"/>
      <c r="E249" s="21"/>
    </row>
    <row r="250" spans="1:5" x14ac:dyDescent="0.3">
      <c r="B250" s="35"/>
      <c r="C250" s="19"/>
      <c r="D250" s="20"/>
      <c r="E250" s="21"/>
    </row>
    <row r="251" spans="1:5" x14ac:dyDescent="0.3">
      <c r="B251" s="35"/>
      <c r="C251" s="19"/>
      <c r="D251" s="20"/>
      <c r="E251" s="21"/>
    </row>
    <row r="252" spans="1:5" x14ac:dyDescent="0.3">
      <c r="B252" s="35"/>
      <c r="C252" s="19"/>
      <c r="D252" s="20"/>
      <c r="E252" s="21"/>
    </row>
  </sheetData>
  <mergeCells count="10">
    <mergeCell ref="A154:E154"/>
    <mergeCell ref="A177:B177"/>
    <mergeCell ref="C177:E177"/>
    <mergeCell ref="A240:E240"/>
    <mergeCell ref="A2:E2"/>
    <mergeCell ref="A12:B12"/>
    <mergeCell ref="C12:E12"/>
    <mergeCell ref="A96:E96"/>
    <mergeCell ref="A113:B113"/>
    <mergeCell ref="C113:E1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Parse Table</vt:lpstr>
      <vt:lpstr>Panic Recovery</vt:lpstr>
      <vt:lpstr>Dry Runs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Rayan Ahmad Khan BS(CS)</cp:lastModifiedBy>
  <cp:revision>0</cp:revision>
  <dcterms:created xsi:type="dcterms:W3CDTF">2026-10-28T06:19:04Z</dcterms:created>
  <dcterms:modified xsi:type="dcterms:W3CDTF">2026-10-28T06:34:32Z</dcterms:modified>
  <dc:language>en-US</dc:language>
</cp:coreProperties>
</file>